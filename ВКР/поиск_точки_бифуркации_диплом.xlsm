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rofessional\Desktop\"/>
    </mc:Choice>
  </mc:AlternateContent>
  <xr:revisionPtr revIDLastSave="0" documentId="13_ncr:1_{079439F8-D78B-4F6E-B1AF-A0D70C9B5CB5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параметры" sheetId="2" r:id="rId1"/>
    <sheet name="диплом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8" i="4" l="1"/>
  <c r="L2" i="4" s="1"/>
  <c r="C18" i="4"/>
  <c r="R4" i="4" s="1"/>
  <c r="M15" i="4"/>
  <c r="M12" i="4"/>
  <c r="L3" i="4"/>
  <c r="E18" i="2"/>
  <c r="B18" i="2"/>
  <c r="W18" i="2"/>
  <c r="S18" i="2"/>
  <c r="F24" i="4"/>
  <c r="F23" i="4"/>
  <c r="M11" i="4"/>
  <c r="O18" i="2"/>
  <c r="F26" i="4"/>
  <c r="F25" i="4"/>
  <c r="K18" i="2"/>
  <c r="M14" i="4"/>
  <c r="M21" i="4"/>
  <c r="M20" i="4"/>
  <c r="M19" i="4"/>
  <c r="M18" i="4"/>
  <c r="M17" i="4"/>
  <c r="M16" i="4"/>
  <c r="M13" i="4"/>
  <c r="I12" i="4"/>
  <c r="I26" i="4"/>
  <c r="M2" i="4"/>
  <c r="M4" i="4"/>
  <c r="L4" i="4"/>
  <c r="U4" i="4"/>
  <c r="T4" i="4"/>
  <c r="V3" i="4"/>
  <c r="T3" i="4"/>
  <c r="V2" i="4"/>
  <c r="U2" i="4"/>
  <c r="Q4" i="4"/>
  <c r="P4" i="4"/>
  <c r="R3" i="4"/>
  <c r="P3" i="4"/>
  <c r="R2" i="4"/>
  <c r="Q2" i="4"/>
  <c r="D18" i="4"/>
  <c r="V4" i="4" s="1"/>
  <c r="H4" i="4"/>
  <c r="N3" i="4"/>
  <c r="N2" i="4"/>
  <c r="J4" i="4"/>
  <c r="I4" i="4"/>
  <c r="J3" i="4"/>
  <c r="I3" i="4"/>
  <c r="H3" i="4"/>
  <c r="I2" i="4"/>
  <c r="J2" i="4"/>
  <c r="H2" i="4"/>
  <c r="P2" i="4" l="1"/>
  <c r="I24" i="4"/>
  <c r="F21" i="4"/>
  <c r="I25" i="4"/>
  <c r="I19" i="4"/>
  <c r="I16" i="4"/>
  <c r="N4" i="4"/>
  <c r="M3" i="4"/>
  <c r="I18" i="4"/>
  <c r="I15" i="4"/>
  <c r="T2" i="4"/>
  <c r="Q3" i="4"/>
  <c r="U3" i="4"/>
  <c r="U7" i="4" l="1"/>
  <c r="Q7" i="4"/>
  <c r="U5" i="4"/>
  <c r="Q5" i="4"/>
  <c r="M5" i="4"/>
  <c r="M7" i="4"/>
  <c r="I21" i="4"/>
  <c r="I22" i="4" s="1"/>
  <c r="M6" i="4"/>
  <c r="Q6" i="4"/>
  <c r="U6" i="4"/>
  <c r="M8" i="4" l="1"/>
  <c r="U8" i="4"/>
  <c r="Q8" i="4"/>
</calcChain>
</file>

<file path=xl/sharedStrings.xml><?xml version="1.0" encoding="utf-8"?>
<sst xmlns="http://schemas.openxmlformats.org/spreadsheetml/2006/main" count="557" uniqueCount="96">
  <si>
    <t>ρ_a</t>
  </si>
  <si>
    <t>ρ_b</t>
  </si>
  <si>
    <t>параметр</t>
  </si>
  <si>
    <t>значение</t>
  </si>
  <si>
    <t>ρ_c</t>
  </si>
  <si>
    <t>k_a</t>
  </si>
  <si>
    <t>k_b</t>
  </si>
  <si>
    <t>σ_a</t>
  </si>
  <si>
    <t>σ_b</t>
  </si>
  <si>
    <t>D_a</t>
  </si>
  <si>
    <t>D_b</t>
  </si>
  <si>
    <t>D_c</t>
  </si>
  <si>
    <t>a</t>
  </si>
  <si>
    <t>b</t>
  </si>
  <si>
    <t>c</t>
  </si>
  <si>
    <t>матрица без диффузии</t>
  </si>
  <si>
    <t>L</t>
  </si>
  <si>
    <t>T</t>
  </si>
  <si>
    <t>ТОЧКА РАВНОВЕСИЯ</t>
  </si>
  <si>
    <t>статус</t>
  </si>
  <si>
    <t>начальное a</t>
  </si>
  <si>
    <t>начальное b</t>
  </si>
  <si>
    <t>начальное c</t>
  </si>
  <si>
    <t>Устойчивость:</t>
  </si>
  <si>
    <t>m</t>
  </si>
  <si>
    <t>q²</t>
  </si>
  <si>
    <t>матрица с диффузией m=1</t>
  </si>
  <si>
    <t>матрица с диффузией m=2</t>
  </si>
  <si>
    <t>матрица с диффузией m=3</t>
  </si>
  <si>
    <t>α</t>
  </si>
  <si>
    <t>β</t>
  </si>
  <si>
    <t>γ</t>
  </si>
  <si>
    <t>сигма</t>
  </si>
  <si>
    <t>αβ</t>
  </si>
  <si>
    <t>ρ_a*ρ_b - αβ</t>
  </si>
  <si>
    <t>ρ_a*ρ_b</t>
  </si>
  <si>
    <t>αβ через  σ</t>
  </si>
  <si>
    <t>СОШЛОСЬ! Невязка = 0,00E+00</t>
  </si>
  <si>
    <t>СОШЛОСЬ! Невязка = 1,57E-16</t>
  </si>
  <si>
    <t>СОШЛОСЬ! Невязка = 3,14E-16</t>
  </si>
  <si>
    <t>подбор через a и c</t>
  </si>
  <si>
    <t>Собственные числа матрицы M:</t>
  </si>
  <si>
    <t>l1 =</t>
  </si>
  <si>
    <t>l2 =</t>
  </si>
  <si>
    <t>l3 =</t>
  </si>
  <si>
    <t>D_c(критическое)</t>
  </si>
  <si>
    <t>max Re(l) =</t>
  </si>
  <si>
    <t>P1</t>
  </si>
  <si>
    <t>P3</t>
  </si>
  <si>
    <t>P2</t>
  </si>
  <si>
    <t>Коэффициенты полинома l^3 + P1*l^2 + P2*l + P3 = 0:</t>
  </si>
  <si>
    <t>P1 =</t>
  </si>
  <si>
    <t>P2 =</t>
  </si>
  <si>
    <t>P3 =</t>
  </si>
  <si>
    <t>+ i·0,261658136896016</t>
  </si>
  <si>
    <t>+ i·-0,261658136896016</t>
  </si>
  <si>
    <t>НЕУСТОЙЧИВА</t>
  </si>
  <si>
    <t>УСТОЙЧИВАЯ</t>
  </si>
  <si>
    <t>СОШЛОСЬ! Невязка = 9,08E-17</t>
  </si>
  <si>
    <t>СОШЛОСЬ! Невязка = 1,23E-17</t>
  </si>
  <si>
    <t>СОШЛОСЬ! Невязка = 1,06E-13</t>
  </si>
  <si>
    <t>СОШЛОСЬ! Невязка = 2,93E-17</t>
  </si>
  <si>
    <t>СОШЛОСЬ! Невязка = 1,45E-16</t>
  </si>
  <si>
    <t>СОШЛОСЬ! Невязка = 8,50E-13</t>
  </si>
  <si>
    <t>СОШЛОСЬ! Невязка = 3,46E-14</t>
  </si>
  <si>
    <t>СОШЛОСЬ! Невязка = 9,38E-14</t>
  </si>
  <si>
    <t>СОШЛОСЬ! Невязка = 2,62E-14</t>
  </si>
  <si>
    <t>СОШЛОСЬ! Невязка = 8,13E-15</t>
  </si>
  <si>
    <t>СОШЛОСЬ! Невязка = 1,89E-14</t>
  </si>
  <si>
    <t>СОШЛОСЬ! Невязка = 4,58E-13</t>
  </si>
  <si>
    <t>Матрица M = J - q^2*D для m=3:</t>
  </si>
  <si>
    <t>СОШЛОСЬ! Невязка = 1,13E-16</t>
  </si>
  <si>
    <t>если k_b меньше 2,36 то бифуркации не будет</t>
  </si>
  <si>
    <t>если p_a p_b меньше 0,25 то нет биф</t>
  </si>
  <si>
    <t>СОШЛОСЬ! Невязка = 5,34E-13</t>
  </si>
  <si>
    <t>СОШЛОСЬ! Невязка = 1,67E-13</t>
  </si>
  <si>
    <t>СОШЛОСЬ! Невязка = 5,66E-17</t>
  </si>
  <si>
    <t>СОШЛОСЬ! Невязка = 7,06E-13</t>
  </si>
  <si>
    <t>СОШЛОСЬ! Невязка = 4,02E-13</t>
  </si>
  <si>
    <t>СОШЛОСЬ! Невязка = 3,04E-13</t>
  </si>
  <si>
    <t>СОШЛОСЬ! Невязка = 2,35E-13</t>
  </si>
  <si>
    <t>СОШЛОСЬ! Невязка = 1,90E-13</t>
  </si>
  <si>
    <t>когда больше 0,04 биф не будет</t>
  </si>
  <si>
    <t>D*_c</t>
  </si>
  <si>
    <t xml:space="preserve"> более 9 не надо не будет бифуркации</t>
  </si>
  <si>
    <t>или нереалистичные данные</t>
  </si>
  <si>
    <t>p_a=p_b</t>
  </si>
  <si>
    <t>больше 1 система неустойчива по 0 гармонике, а когда меньше 0,3 биф не будет</t>
  </si>
  <si>
    <t>σ_a=σ_b</t>
  </si>
  <si>
    <t>p_c</t>
  </si>
  <si>
    <t>76,7976911712413</t>
  </si>
  <si>
    <t>D_a=D_b</t>
  </si>
  <si>
    <t>46,0916149776757</t>
  </si>
  <si>
    <t>97,4029606854259</t>
  </si>
  <si>
    <t>157,357614159318</t>
  </si>
  <si>
    <t>69,1179220541172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</si>
</sst>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9"/>
      <color rgb="FF0F1115"/>
      <name val="Segoe UI"/>
      <family val="2"/>
      <charset val="204"/>
    </font>
    <font>
      <sz val="8"/>
      <color rgb="FF0F1115"/>
      <name val="Consolas"/>
      <family val="3"/>
      <charset val="204"/>
    </font>
    <font>
      <sz val="11"/>
      <color rgb="FF008000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i/>
      <sz val="12"/>
      <color rgb="FF0F1115"/>
      <name val="KaTeX_Math"/>
    </font>
    <font>
      <sz val="11"/>
      <name val="Calibri"/>
      <family val="2"/>
      <scheme val="minor"/>
    </font>
    <font>
      <i/>
      <sz val="12"/>
      <color rgb="FF0F1115"/>
      <name val="Calibri"/>
      <family val="2"/>
      <charset val="204"/>
      <scheme val="minor"/>
    </font>
    <font>
      <sz val="11"/>
      <color rgb="FF0F1115"/>
      <name val="Calibri"/>
      <family val="2"/>
      <charset val="204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4" borderId="0" xfId="0" applyFill="1"/>
    <xf numFmtId="0" fontId="0" fillId="0" borderId="0" xfId="0" applyAlignment="1">
      <alignment horizontal="right"/>
    </xf>
    <xf numFmtId="0" fontId="4" fillId="0" borderId="0" xfId="0" applyFont="1"/>
    <xf numFmtId="0" fontId="0" fillId="8" borderId="0" xfId="0" applyFill="1"/>
    <xf numFmtId="0" fontId="0" fillId="8" borderId="0" xfId="0" applyFill="1" applyAlignment="1">
      <alignment horizontal="left"/>
    </xf>
    <xf numFmtId="0" fontId="3" fillId="8" borderId="0" xfId="0" applyFont="1" applyFill="1" applyAlignment="1">
      <alignment horizontal="left" vertical="center" wrapText="1" indent="1"/>
    </xf>
    <xf numFmtId="0" fontId="0" fillId="11" borderId="0" xfId="0" applyFill="1" applyAlignment="1">
      <alignment horizontal="right"/>
    </xf>
    <xf numFmtId="0" fontId="0" fillId="11" borderId="0" xfId="0" applyFill="1"/>
    <xf numFmtId="0" fontId="0" fillId="0" borderId="0" xfId="0" applyFill="1"/>
    <xf numFmtId="0" fontId="0" fillId="12" borderId="0" xfId="0" applyFill="1"/>
    <xf numFmtId="0" fontId="8" fillId="0" borderId="0" xfId="0" applyFont="1" applyFill="1"/>
    <xf numFmtId="0" fontId="2" fillId="0" borderId="0" xfId="0" applyFont="1" applyFill="1"/>
    <xf numFmtId="0" fontId="0" fillId="0" borderId="0" xfId="0" applyFill="1" applyAlignment="1">
      <alignment horizontal="right"/>
    </xf>
    <xf numFmtId="0" fontId="7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9" fillId="16" borderId="0" xfId="0" applyFont="1" applyFill="1"/>
    <xf numFmtId="0" fontId="0" fillId="17" borderId="0" xfId="0" applyFill="1"/>
    <xf numFmtId="0" fontId="9" fillId="17" borderId="0" xfId="0" applyFont="1" applyFill="1"/>
    <xf numFmtId="0" fontId="9" fillId="5" borderId="0" xfId="0" applyFont="1" applyFill="1"/>
    <xf numFmtId="0" fontId="0" fillId="5" borderId="0" xfId="0" applyFill="1"/>
    <xf numFmtId="0" fontId="9" fillId="9" borderId="0" xfId="0" applyFont="1" applyFill="1"/>
    <xf numFmtId="0" fontId="6" fillId="0" borderId="1" xfId="0" applyFont="1" applyBorder="1"/>
    <xf numFmtId="0" fontId="0" fillId="0" borderId="2" xfId="0" applyFill="1" applyBorder="1"/>
    <xf numFmtId="0" fontId="0" fillId="14" borderId="3" xfId="0" applyFill="1" applyBorder="1"/>
    <xf numFmtId="0" fontId="0" fillId="14" borderId="4" xfId="0" applyFill="1" applyBorder="1"/>
    <xf numFmtId="0" fontId="6" fillId="0" borderId="3" xfId="0" applyFont="1" applyBorder="1"/>
    <xf numFmtId="0" fontId="0" fillId="0" borderId="4" xfId="0" applyFill="1" applyBorder="1"/>
    <xf numFmtId="0" fontId="2" fillId="3" borderId="3" xfId="0" applyFont="1" applyFill="1" applyBorder="1"/>
    <xf numFmtId="0" fontId="0" fillId="0" borderId="3" xfId="0" applyBorder="1"/>
    <xf numFmtId="0" fontId="0" fillId="0" borderId="4" xfId="0" applyBorder="1"/>
    <xf numFmtId="0" fontId="9" fillId="5" borderId="5" xfId="0" applyFont="1" applyFill="1" applyBorder="1"/>
    <xf numFmtId="0" fontId="0" fillId="5" borderId="6" xfId="0" applyFill="1" applyBorder="1"/>
    <xf numFmtId="0" fontId="9" fillId="5" borderId="3" xfId="0" applyFont="1" applyFill="1" applyBorder="1"/>
    <xf numFmtId="0" fontId="0" fillId="5" borderId="4" xfId="0" applyFill="1" applyBorder="1"/>
    <xf numFmtId="0" fontId="2" fillId="16" borderId="0" xfId="0" applyFont="1" applyFill="1"/>
    <xf numFmtId="2" fontId="0" fillId="0" borderId="0" xfId="0" applyNumberFormat="1"/>
    <xf numFmtId="0" fontId="2" fillId="17" borderId="0" xfId="0" applyFont="1" applyFill="1"/>
    <xf numFmtId="0" fontId="0" fillId="0" borderId="1" xfId="0" applyBorder="1"/>
    <xf numFmtId="0" fontId="0" fillId="0" borderId="7" xfId="0" applyBorder="1"/>
    <xf numFmtId="0" fontId="0" fillId="0" borderId="2" xfId="0" applyBorder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0" borderId="3" xfId="0" applyFill="1" applyBorder="1"/>
    <xf numFmtId="0" fontId="0" fillId="9" borderId="1" xfId="0" applyFill="1" applyBorder="1"/>
    <xf numFmtId="0" fontId="0" fillId="9" borderId="7" xfId="0" applyFill="1" applyBorder="1"/>
    <xf numFmtId="0" fontId="0" fillId="9" borderId="2" xfId="0" applyFill="1" applyBorder="1"/>
    <xf numFmtId="0" fontId="3" fillId="10" borderId="3" xfId="0" applyFont="1" applyFill="1" applyBorder="1" applyAlignment="1">
      <alignment horizontal="left" vertical="center" wrapText="1" indent="1"/>
    </xf>
    <xf numFmtId="0" fontId="0" fillId="10" borderId="0" xfId="0" applyFill="1" applyBorder="1"/>
    <xf numFmtId="0" fontId="0" fillId="10" borderId="4" xfId="0" applyFill="1" applyBorder="1"/>
    <xf numFmtId="0" fontId="0" fillId="10" borderId="3" xfId="0" applyFill="1" applyBorder="1"/>
    <xf numFmtId="0" fontId="0" fillId="0" borderId="0" xfId="0" applyFill="1" applyBorder="1"/>
    <xf numFmtId="0" fontId="1" fillId="0" borderId="3" xfId="0" applyFont="1" applyBorder="1"/>
    <xf numFmtId="0" fontId="1" fillId="0" borderId="5" xfId="0" applyFont="1" applyBorder="1"/>
    <xf numFmtId="0" fontId="10" fillId="0" borderId="3" xfId="0" applyFont="1" applyBorder="1"/>
    <xf numFmtId="0" fontId="10" fillId="2" borderId="0" xfId="0" applyFont="1" applyFill="1" applyBorder="1" applyAlignment="1">
      <alignment horizontal="left" vertical="center" wrapText="1" indent="1"/>
    </xf>
    <xf numFmtId="0" fontId="10" fillId="11" borderId="3" xfId="0" applyFont="1" applyFill="1" applyBorder="1"/>
    <xf numFmtId="0" fontId="10" fillId="11" borderId="0" xfId="0" applyFont="1" applyFill="1" applyBorder="1"/>
    <xf numFmtId="0" fontId="10" fillId="0" borderId="8" xfId="0" applyFont="1" applyBorder="1" applyAlignment="1">
      <alignment horizontal="right"/>
    </xf>
    <xf numFmtId="0" fontId="1" fillId="9" borderId="1" xfId="0" applyFont="1" applyFill="1" applyBorder="1"/>
    <xf numFmtId="0" fontId="1" fillId="9" borderId="7" xfId="0" applyFont="1" applyFill="1" applyBorder="1"/>
    <xf numFmtId="0" fontId="1" fillId="9" borderId="2" xfId="0" applyFont="1" applyFill="1" applyBorder="1"/>
    <xf numFmtId="0" fontId="10" fillId="10" borderId="3" xfId="0" applyFont="1" applyFill="1" applyBorder="1" applyAlignment="1">
      <alignment horizontal="left" vertical="center" wrapText="1" indent="1"/>
    </xf>
    <xf numFmtId="0" fontId="1" fillId="10" borderId="0" xfId="0" applyFont="1" applyFill="1" applyBorder="1"/>
    <xf numFmtId="0" fontId="1" fillId="10" borderId="4" xfId="0" applyFont="1" applyFill="1" applyBorder="1"/>
    <xf numFmtId="0" fontId="1" fillId="10" borderId="3" xfId="0" applyFont="1" applyFill="1" applyBorder="1"/>
    <xf numFmtId="0" fontId="1" fillId="0" borderId="4" xfId="0" applyFont="1" applyBorder="1"/>
    <xf numFmtId="0" fontId="1" fillId="0" borderId="6" xfId="0" applyFont="1" applyBorder="1"/>
    <xf numFmtId="0" fontId="1" fillId="0" borderId="0" xfId="0" applyFont="1"/>
    <xf numFmtId="0" fontId="3" fillId="11" borderId="0" xfId="0" applyFont="1" applyFill="1" applyBorder="1" applyAlignment="1">
      <alignment horizontal="left" vertical="center" wrapText="1" indent="1"/>
    </xf>
    <xf numFmtId="0" fontId="3" fillId="10" borderId="0" xfId="0" applyFont="1" applyFill="1" applyBorder="1" applyAlignment="1">
      <alignment horizontal="left" vertical="center" wrapText="1" indent="1"/>
    </xf>
    <xf numFmtId="0" fontId="3" fillId="10" borderId="4" xfId="0" applyFont="1" applyFill="1" applyBorder="1" applyAlignment="1">
      <alignment horizontal="left" vertical="center" wrapText="1" indent="1"/>
    </xf>
    <xf numFmtId="164" fontId="10" fillId="10" borderId="3" xfId="0" applyNumberFormat="1" applyFont="1" applyFill="1" applyBorder="1" applyAlignment="1">
      <alignment horizontal="left" vertical="center" wrapText="1" indent="1"/>
    </xf>
    <xf numFmtId="0" fontId="0" fillId="6" borderId="1" xfId="0" applyFill="1" applyBorder="1"/>
    <xf numFmtId="0" fontId="0" fillId="6" borderId="7" xfId="0" applyFill="1" applyBorder="1"/>
    <xf numFmtId="0" fontId="0" fillId="6" borderId="2" xfId="0" applyFill="1" applyBorder="1"/>
    <xf numFmtId="0" fontId="3" fillId="7" borderId="3" xfId="0" applyFont="1" applyFill="1" applyBorder="1" applyAlignment="1">
      <alignment horizontal="left" vertical="center" wrapText="1" indent="1"/>
    </xf>
    <xf numFmtId="0" fontId="3" fillId="7" borderId="0" xfId="0" applyFont="1" applyFill="1" applyBorder="1" applyAlignment="1">
      <alignment horizontal="left" vertical="center" wrapText="1" indent="1"/>
    </xf>
    <xf numFmtId="0" fontId="3" fillId="7" borderId="4" xfId="0" applyFont="1" applyFill="1" applyBorder="1" applyAlignment="1">
      <alignment horizontal="left" vertical="center" wrapText="1" indent="1"/>
    </xf>
    <xf numFmtId="0" fontId="0" fillId="7" borderId="3" xfId="0" applyFill="1" applyBorder="1"/>
    <xf numFmtId="0" fontId="0" fillId="0" borderId="6" xfId="0" applyFill="1" applyBorder="1"/>
    <xf numFmtId="0" fontId="0" fillId="11" borderId="3" xfId="0" applyFill="1" applyBorder="1"/>
    <xf numFmtId="0" fontId="0" fillId="11" borderId="0" xfId="0" applyFill="1" applyBorder="1"/>
    <xf numFmtId="49" fontId="11" fillId="12" borderId="0" xfId="0" applyNumberFormat="1" applyFont="1" applyFill="1"/>
    <xf numFmtId="49" fontId="0" fillId="0" borderId="0" xfId="0" applyNumberFormat="1"/>
    <xf numFmtId="0" fontId="12" fillId="0" borderId="8" xfId="0" applyFont="1" applyBorder="1"/>
    <xf numFmtId="0" fontId="2" fillId="18" borderId="0" xfId="0" applyFont="1" applyFill="1"/>
    <xf numFmtId="0" fontId="0" fillId="18" borderId="0" xfId="0" applyFill="1" applyBorder="1"/>
    <xf numFmtId="0" fontId="2" fillId="18" borderId="0" xfId="0" applyFont="1" applyFill="1" applyBorder="1"/>
    <xf numFmtId="2" fontId="0" fillId="18" borderId="0" xfId="0" applyNumberFormat="1" applyFill="1" applyBorder="1"/>
    <xf numFmtId="0" fontId="0" fillId="18" borderId="0" xfId="0" applyFill="1" applyBorder="1" applyAlignment="1">
      <alignment horizontal="right"/>
    </xf>
    <xf numFmtId="49" fontId="11" fillId="18" borderId="0" xfId="0" applyNumberFormat="1" applyFont="1" applyFill="1" applyBorder="1"/>
    <xf numFmtId="0" fontId="0" fillId="18" borderId="0" xfId="0" applyFill="1" applyBorder="1" applyAlignment="1">
      <alignment horizontal="left"/>
    </xf>
    <xf numFmtId="0" fontId="4" fillId="0" borderId="8" xfId="0" applyFont="1" applyBorder="1"/>
    <xf numFmtId="2" fontId="0" fillId="19" borderId="0" xfId="0" applyNumberFormat="1" applyFill="1"/>
    <xf numFmtId="0" fontId="0" fillId="19" borderId="0" xfId="0" applyFill="1" applyAlignment="1">
      <alignment horizontal="right"/>
    </xf>
    <xf numFmtId="0" fontId="0" fillId="19" borderId="0" xfId="0" applyFill="1"/>
    <xf numFmtId="49" fontId="11" fillId="12" borderId="8" xfId="0" applyNumberFormat="1" applyFont="1" applyFill="1" applyBorder="1"/>
    <xf numFmtId="49" fontId="11" fillId="12" borderId="6" xfId="0" applyNumberFormat="1" applyFont="1" applyFill="1" applyBorder="1"/>
    <xf numFmtId="2" fontId="0" fillId="0" borderId="2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99"/>
      <color rgb="FFCCCCFF"/>
      <color rgb="FFFF7C8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601980</xdr:colOff>
          <xdr:row>4</xdr:row>
          <xdr:rowOff>30480</xdr:rowOff>
        </xdr:from>
        <xdr:to>
          <xdr:col>4</xdr:col>
          <xdr:colOff>7620</xdr:colOff>
          <xdr:row>6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ок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266700</xdr:colOff>
      <xdr:row>20</xdr:row>
      <xdr:rowOff>0</xdr:rowOff>
    </xdr:from>
    <xdr:ext cx="188193" cy="1785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3560BC1-9AAD-220F-F418-B42A312227E9}"/>
                </a:ext>
              </a:extLst>
            </xdr:cNvPr>
            <xdr:cNvSpPr txBox="1"/>
          </xdr:nvSpPr>
          <xdr:spPr>
            <a:xfrm>
              <a:off x="3291840" y="4000500"/>
              <a:ext cx="188193" cy="1785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3560BC1-9AAD-220F-F418-B42A312227E9}"/>
                </a:ext>
              </a:extLst>
            </xdr:cNvPr>
            <xdr:cNvSpPr txBox="1"/>
          </xdr:nvSpPr>
          <xdr:spPr>
            <a:xfrm>
              <a:off x="3291840" y="4000500"/>
              <a:ext cx="188193" cy="1785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𝑃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3</a:t>
              </a:r>
              <a:r>
                <a:rPr lang="ru-RU" sz="1100" b="0" i="0">
                  <a:latin typeface="Cambria Math" panose="02040503050406030204" pitchFamily="18" charset="0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</a:rPr>
                <a:t>0</a:t>
              </a:r>
              <a:endParaRPr lang="ru-RU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8</xdr:row>
          <xdr:rowOff>167640</xdr:rowOff>
        </xdr:from>
        <xdr:to>
          <xdr:col>9</xdr:col>
          <xdr:colOff>746760</xdr:colOff>
          <xdr:row>10</xdr:row>
          <xdr:rowOff>7620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Сигмы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23</xdr:row>
          <xdr:rowOff>0</xdr:rowOff>
        </xdr:from>
        <xdr:to>
          <xdr:col>9</xdr:col>
          <xdr:colOff>746760</xdr:colOff>
          <xdr:row>24</xdr:row>
          <xdr:rowOff>22860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167640</xdr:colOff>
          <xdr:row>40</xdr:row>
          <xdr:rowOff>175260</xdr:rowOff>
        </xdr:from>
        <xdr:to>
          <xdr:col>9</xdr:col>
          <xdr:colOff>731520</xdr:colOff>
          <xdr:row>42</xdr:row>
          <xdr:rowOff>30480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p_c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6</xdr:row>
          <xdr:rowOff>137160</xdr:rowOff>
        </xdr:from>
        <xdr:to>
          <xdr:col>3</xdr:col>
          <xdr:colOff>594360</xdr:colOff>
          <xdr:row>7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D_c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30</xdr:row>
          <xdr:rowOff>68580</xdr:rowOff>
        </xdr:from>
        <xdr:to>
          <xdr:col>4</xdr:col>
          <xdr:colOff>754380</xdr:colOff>
          <xdr:row>31</xdr:row>
          <xdr:rowOff>137160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Лямбда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F4B1F-CB44-4668-9B39-E214E9F79D7F}">
  <sheetPr codeName="Лист2"/>
  <dimension ref="A1:W105"/>
  <sheetViews>
    <sheetView topLeftCell="A81" workbookViewId="0">
      <selection activeCell="H99" sqref="H99:L101"/>
    </sheetView>
  </sheetViews>
  <sheetFormatPr defaultRowHeight="14.4"/>
  <cols>
    <col min="2" max="2" width="12" bestFit="1" customWidth="1"/>
  </cols>
  <sheetData>
    <row r="1" spans="1:23">
      <c r="A1" s="3" t="s">
        <v>2</v>
      </c>
      <c r="B1" s="3" t="s">
        <v>3</v>
      </c>
      <c r="C1" s="58"/>
      <c r="D1" s="3" t="s">
        <v>2</v>
      </c>
      <c r="E1" s="3" t="s">
        <v>3</v>
      </c>
      <c r="F1" s="58"/>
      <c r="G1" s="3" t="s">
        <v>2</v>
      </c>
      <c r="H1" s="3" t="s">
        <v>3</v>
      </c>
      <c r="J1" s="3" t="s">
        <v>2</v>
      </c>
      <c r="K1" s="3" t="s">
        <v>3</v>
      </c>
      <c r="N1" s="3" t="s">
        <v>2</v>
      </c>
      <c r="O1" s="3" t="s">
        <v>3</v>
      </c>
      <c r="R1" s="3" t="s">
        <v>2</v>
      </c>
      <c r="S1" s="3" t="s">
        <v>3</v>
      </c>
      <c r="V1" s="3" t="s">
        <v>2</v>
      </c>
      <c r="W1" s="3" t="s">
        <v>3</v>
      </c>
    </row>
    <row r="2" spans="1:23">
      <c r="A2" s="2" t="s">
        <v>0</v>
      </c>
      <c r="B2">
        <v>1</v>
      </c>
      <c r="C2" s="58"/>
      <c r="D2" s="2" t="s">
        <v>0</v>
      </c>
      <c r="E2">
        <v>1</v>
      </c>
      <c r="F2" s="58"/>
      <c r="G2" s="2" t="s">
        <v>0</v>
      </c>
      <c r="H2">
        <v>1</v>
      </c>
      <c r="J2" s="2" t="s">
        <v>0</v>
      </c>
      <c r="K2">
        <v>1</v>
      </c>
      <c r="N2" s="2" t="s">
        <v>0</v>
      </c>
      <c r="O2">
        <v>1</v>
      </c>
      <c r="R2" s="2" t="s">
        <v>0</v>
      </c>
      <c r="S2">
        <v>1</v>
      </c>
      <c r="V2" s="2" t="s">
        <v>0</v>
      </c>
      <c r="W2">
        <v>1</v>
      </c>
    </row>
    <row r="3" spans="1:23">
      <c r="A3" s="2" t="s">
        <v>1</v>
      </c>
      <c r="B3">
        <v>1</v>
      </c>
      <c r="C3" s="58"/>
      <c r="D3" s="2" t="s">
        <v>1</v>
      </c>
      <c r="E3">
        <v>1</v>
      </c>
      <c r="F3" s="58"/>
      <c r="G3" s="2" t="s">
        <v>1</v>
      </c>
      <c r="H3">
        <v>1</v>
      </c>
      <c r="J3" s="2" t="s">
        <v>1</v>
      </c>
      <c r="K3">
        <v>1</v>
      </c>
      <c r="N3" s="2" t="s">
        <v>1</v>
      </c>
      <c r="O3">
        <v>1</v>
      </c>
      <c r="R3" s="2" t="s">
        <v>1</v>
      </c>
      <c r="S3">
        <v>1</v>
      </c>
      <c r="V3" s="2" t="s">
        <v>1</v>
      </c>
      <c r="W3">
        <v>1</v>
      </c>
    </row>
    <row r="4" spans="1:23">
      <c r="A4" s="2" t="s">
        <v>4</v>
      </c>
      <c r="B4" s="41">
        <v>0.1</v>
      </c>
      <c r="C4" s="58"/>
      <c r="D4" s="2" t="s">
        <v>4</v>
      </c>
      <c r="E4" s="41">
        <v>0.01</v>
      </c>
      <c r="F4" s="58"/>
      <c r="G4" s="2" t="s">
        <v>4</v>
      </c>
      <c r="H4" s="41">
        <v>0.09</v>
      </c>
      <c r="J4" s="2" t="s">
        <v>4</v>
      </c>
      <c r="K4">
        <v>0.5</v>
      </c>
      <c r="N4" s="2" t="s">
        <v>4</v>
      </c>
      <c r="O4">
        <v>1</v>
      </c>
      <c r="R4" s="2" t="s">
        <v>4</v>
      </c>
      <c r="S4">
        <v>1</v>
      </c>
      <c r="V4" s="2" t="s">
        <v>4</v>
      </c>
      <c r="W4" s="41">
        <v>1</v>
      </c>
    </row>
    <row r="5" spans="1:23">
      <c r="A5" s="2" t="s">
        <v>5</v>
      </c>
      <c r="B5">
        <v>5</v>
      </c>
      <c r="C5" s="11"/>
      <c r="D5" s="2" t="s">
        <v>5</v>
      </c>
      <c r="E5">
        <v>5</v>
      </c>
      <c r="F5" s="11"/>
      <c r="G5" s="2" t="s">
        <v>5</v>
      </c>
      <c r="H5">
        <v>5</v>
      </c>
      <c r="J5" s="2" t="s">
        <v>5</v>
      </c>
      <c r="K5">
        <v>10</v>
      </c>
      <c r="N5" s="2" t="s">
        <v>5</v>
      </c>
      <c r="O5">
        <v>5</v>
      </c>
      <c r="R5" s="2" t="s">
        <v>5</v>
      </c>
      <c r="S5">
        <v>5</v>
      </c>
      <c r="V5" s="2" t="s">
        <v>5</v>
      </c>
      <c r="W5">
        <v>5</v>
      </c>
    </row>
    <row r="6" spans="1:23">
      <c r="A6" s="2" t="s">
        <v>6</v>
      </c>
      <c r="B6">
        <v>5</v>
      </c>
      <c r="C6" s="11"/>
      <c r="D6" s="2" t="s">
        <v>6</v>
      </c>
      <c r="E6">
        <v>5</v>
      </c>
      <c r="F6" s="11"/>
      <c r="G6" s="2" t="s">
        <v>6</v>
      </c>
      <c r="H6">
        <v>5</v>
      </c>
      <c r="J6" s="2" t="s">
        <v>6</v>
      </c>
      <c r="K6">
        <v>10</v>
      </c>
      <c r="N6" s="2" t="s">
        <v>6</v>
      </c>
      <c r="O6">
        <v>5</v>
      </c>
      <c r="R6" s="2" t="s">
        <v>6</v>
      </c>
      <c r="S6">
        <v>5</v>
      </c>
      <c r="V6" s="2" t="s">
        <v>6</v>
      </c>
      <c r="W6">
        <v>5</v>
      </c>
    </row>
    <row r="7" spans="1:23">
      <c r="A7" s="2" t="s">
        <v>7</v>
      </c>
      <c r="B7" s="4">
        <v>0.01</v>
      </c>
      <c r="C7" s="11"/>
      <c r="D7" s="2" t="s">
        <v>7</v>
      </c>
      <c r="E7" s="4">
        <v>0.01</v>
      </c>
      <c r="F7" s="11"/>
      <c r="G7" s="2" t="s">
        <v>7</v>
      </c>
      <c r="H7" s="4">
        <v>0.01</v>
      </c>
      <c r="J7" s="2" t="s">
        <v>7</v>
      </c>
      <c r="K7" s="4">
        <v>0.01</v>
      </c>
      <c r="N7" s="2" t="s">
        <v>7</v>
      </c>
      <c r="O7" s="4">
        <v>0.01</v>
      </c>
      <c r="R7" s="2" t="s">
        <v>7</v>
      </c>
      <c r="S7" s="4">
        <v>1.0000000000000001E-5</v>
      </c>
      <c r="V7" s="2" t="s">
        <v>7</v>
      </c>
      <c r="W7" s="4">
        <v>0.01</v>
      </c>
    </row>
    <row r="8" spans="1:23">
      <c r="A8" s="2" t="s">
        <v>8</v>
      </c>
      <c r="B8" s="4">
        <v>0.01</v>
      </c>
      <c r="C8" s="11"/>
      <c r="D8" s="2" t="s">
        <v>8</v>
      </c>
      <c r="E8" s="4">
        <v>0.01</v>
      </c>
      <c r="F8" s="11"/>
      <c r="G8" s="2" t="s">
        <v>8</v>
      </c>
      <c r="H8" s="4">
        <v>0.01</v>
      </c>
      <c r="J8" s="2" t="s">
        <v>8</v>
      </c>
      <c r="K8" s="4">
        <v>0.01</v>
      </c>
      <c r="N8" s="2" t="s">
        <v>8</v>
      </c>
      <c r="O8" s="4">
        <v>0.01</v>
      </c>
      <c r="R8" s="2" t="s">
        <v>8</v>
      </c>
      <c r="S8" s="4">
        <v>1E-4</v>
      </c>
      <c r="V8" s="2" t="s">
        <v>8</v>
      </c>
      <c r="W8" s="4">
        <v>0.01</v>
      </c>
    </row>
    <row r="9" spans="1:23">
      <c r="A9" s="14"/>
      <c r="B9" s="4"/>
      <c r="C9" s="11"/>
      <c r="D9" s="14"/>
      <c r="E9" s="4"/>
      <c r="F9" s="11"/>
      <c r="G9" s="14"/>
      <c r="H9" s="4"/>
      <c r="J9" s="14"/>
      <c r="K9" s="4"/>
      <c r="N9" s="14"/>
      <c r="O9" s="4"/>
      <c r="R9" s="14"/>
      <c r="S9" s="4"/>
      <c r="V9" s="14"/>
      <c r="W9" s="4"/>
    </row>
    <row r="10" spans="1:23">
      <c r="B10" s="4"/>
      <c r="C10" s="11"/>
      <c r="E10" s="4"/>
      <c r="F10" s="11"/>
      <c r="H10" s="4"/>
      <c r="K10" s="4"/>
      <c r="O10" s="4"/>
      <c r="S10" s="4"/>
      <c r="W10" s="4"/>
    </row>
    <row r="11" spans="1:23">
      <c r="A11" s="2" t="s">
        <v>9</v>
      </c>
      <c r="B11" s="4">
        <v>0.5</v>
      </c>
      <c r="C11" s="11"/>
      <c r="D11" s="2" t="s">
        <v>9</v>
      </c>
      <c r="E11" s="4">
        <v>0.5</v>
      </c>
      <c r="F11" s="11"/>
      <c r="G11" s="2" t="s">
        <v>9</v>
      </c>
      <c r="H11" s="4">
        <v>0.5</v>
      </c>
      <c r="J11" s="2" t="s">
        <v>9</v>
      </c>
      <c r="K11" s="4">
        <v>0.01</v>
      </c>
      <c r="N11" s="2" t="s">
        <v>9</v>
      </c>
      <c r="O11" s="4">
        <v>0.01</v>
      </c>
      <c r="R11" s="2" t="s">
        <v>9</v>
      </c>
      <c r="S11" s="4">
        <v>1.0000000000000001E-5</v>
      </c>
      <c r="V11" s="2" t="s">
        <v>9</v>
      </c>
      <c r="W11" s="4">
        <v>1</v>
      </c>
    </row>
    <row r="12" spans="1:23">
      <c r="A12" s="2" t="s">
        <v>10</v>
      </c>
      <c r="B12" s="4">
        <v>0.5</v>
      </c>
      <c r="C12" s="11"/>
      <c r="D12" s="2" t="s">
        <v>10</v>
      </c>
      <c r="E12" s="4">
        <v>0.5</v>
      </c>
      <c r="F12" s="11"/>
      <c r="G12" s="2" t="s">
        <v>10</v>
      </c>
      <c r="H12" s="4">
        <v>0.5</v>
      </c>
      <c r="J12" s="2" t="s">
        <v>10</v>
      </c>
      <c r="K12" s="4">
        <v>0.01</v>
      </c>
      <c r="N12" s="2" t="s">
        <v>10</v>
      </c>
      <c r="O12" s="4">
        <v>0.01</v>
      </c>
      <c r="R12" s="2" t="s">
        <v>10</v>
      </c>
      <c r="S12" s="4">
        <v>1.0000000000000001E-5</v>
      </c>
      <c r="V12" s="2" t="s">
        <v>10</v>
      </c>
      <c r="W12" s="4">
        <v>1</v>
      </c>
    </row>
    <row r="13" spans="1:23">
      <c r="A13" s="2" t="s">
        <v>11</v>
      </c>
      <c r="B13" s="19">
        <v>80</v>
      </c>
      <c r="C13" s="11"/>
      <c r="D13" s="2" t="s">
        <v>11</v>
      </c>
      <c r="E13" s="19">
        <v>8</v>
      </c>
      <c r="F13" s="11"/>
      <c r="G13" s="2" t="s">
        <v>11</v>
      </c>
      <c r="H13" s="19">
        <v>70</v>
      </c>
      <c r="J13" s="2" t="s">
        <v>11</v>
      </c>
      <c r="K13" s="4">
        <v>1.6752632487276742</v>
      </c>
      <c r="N13" s="2" t="s">
        <v>11</v>
      </c>
      <c r="O13" s="4">
        <v>168.33193170304699</v>
      </c>
      <c r="R13" s="2" t="s">
        <v>11</v>
      </c>
      <c r="S13" s="4">
        <v>0.01</v>
      </c>
      <c r="V13" s="2" t="s">
        <v>11</v>
      </c>
      <c r="W13" s="4">
        <v>0.01</v>
      </c>
    </row>
    <row r="14" spans="1:23">
      <c r="A14" s="14"/>
      <c r="B14" s="15"/>
      <c r="C14" s="11"/>
      <c r="D14" s="14"/>
      <c r="E14" s="15"/>
      <c r="F14" s="11"/>
      <c r="G14" s="14"/>
      <c r="H14" s="15"/>
      <c r="J14" s="14"/>
      <c r="K14" s="15"/>
      <c r="N14" s="14"/>
      <c r="O14" s="15"/>
      <c r="R14" s="14"/>
      <c r="S14" s="15"/>
      <c r="V14" s="14"/>
      <c r="W14" s="15"/>
    </row>
    <row r="15" spans="1:23">
      <c r="A15" s="2" t="s">
        <v>16</v>
      </c>
      <c r="B15">
        <v>60</v>
      </c>
      <c r="C15" s="11"/>
      <c r="D15" s="2" t="s">
        <v>16</v>
      </c>
      <c r="E15">
        <v>60</v>
      </c>
      <c r="F15" s="11"/>
      <c r="G15" s="2" t="s">
        <v>16</v>
      </c>
      <c r="H15">
        <v>60</v>
      </c>
      <c r="J15" s="2" t="s">
        <v>16</v>
      </c>
      <c r="K15">
        <v>100</v>
      </c>
      <c r="N15" s="2" t="s">
        <v>16</v>
      </c>
      <c r="O15">
        <v>100</v>
      </c>
      <c r="R15" s="2" t="s">
        <v>16</v>
      </c>
      <c r="S15">
        <v>100</v>
      </c>
      <c r="V15" s="2" t="s">
        <v>16</v>
      </c>
      <c r="W15">
        <v>50</v>
      </c>
    </row>
    <row r="16" spans="1:23">
      <c r="A16" s="2" t="s">
        <v>17</v>
      </c>
      <c r="B16">
        <v>10</v>
      </c>
      <c r="C16" s="11"/>
      <c r="D16" s="2" t="s">
        <v>17</v>
      </c>
      <c r="E16">
        <v>10</v>
      </c>
      <c r="F16" s="11"/>
      <c r="G16" s="2" t="s">
        <v>17</v>
      </c>
      <c r="H16">
        <v>10</v>
      </c>
      <c r="J16" s="2" t="s">
        <v>17</v>
      </c>
      <c r="K16">
        <v>10</v>
      </c>
      <c r="N16" s="2" t="s">
        <v>17</v>
      </c>
      <c r="O16">
        <v>10</v>
      </c>
      <c r="R16" s="2" t="s">
        <v>17</v>
      </c>
      <c r="S16">
        <v>10</v>
      </c>
      <c r="V16" s="2" t="s">
        <v>17</v>
      </c>
      <c r="W16">
        <v>10</v>
      </c>
    </row>
    <row r="17" spans="1:23">
      <c r="A17" s="2" t="s">
        <v>24</v>
      </c>
      <c r="B17" s="9">
        <v>5</v>
      </c>
      <c r="C17" s="11"/>
      <c r="D17" s="2" t="s">
        <v>24</v>
      </c>
      <c r="E17" s="9">
        <v>4</v>
      </c>
      <c r="F17" s="11"/>
      <c r="G17" s="2" t="s">
        <v>24</v>
      </c>
      <c r="H17" s="9">
        <v>4</v>
      </c>
      <c r="J17" s="2" t="s">
        <v>24</v>
      </c>
      <c r="K17" s="9">
        <v>30</v>
      </c>
      <c r="N17" s="2" t="s">
        <v>24</v>
      </c>
      <c r="O17" s="9">
        <v>10</v>
      </c>
      <c r="R17" s="2" t="s">
        <v>24</v>
      </c>
      <c r="S17" s="9">
        <v>1</v>
      </c>
      <c r="V17" s="2" t="s">
        <v>24</v>
      </c>
      <c r="W17" s="9">
        <v>2</v>
      </c>
    </row>
    <row r="18" spans="1:23">
      <c r="A18" s="7" t="s">
        <v>25</v>
      </c>
      <c r="B18" s="6">
        <f xml:space="preserve"> (B17 * PI() / B15)^2</f>
        <v>6.853891945200942E-2</v>
      </c>
      <c r="C18" s="11"/>
      <c r="D18" s="7" t="s">
        <v>25</v>
      </c>
      <c r="E18" s="6">
        <f xml:space="preserve"> (E17 * PI() / E15)^2</f>
        <v>4.3864908449286033E-2</v>
      </c>
      <c r="F18" s="11"/>
      <c r="G18" s="14"/>
      <c r="H18" s="15"/>
      <c r="J18" s="7" t="s">
        <v>25</v>
      </c>
      <c r="K18" s="6">
        <f xml:space="preserve"> (K17 * PI() / K15)^2</f>
        <v>0.88826439609804198</v>
      </c>
      <c r="N18" s="7" t="s">
        <v>25</v>
      </c>
      <c r="O18" s="6">
        <f xml:space="preserve"> (O17 * PI() / O15)^2</f>
        <v>9.8696044010893574E-2</v>
      </c>
      <c r="R18" s="7" t="s">
        <v>25</v>
      </c>
      <c r="S18" s="6">
        <f xml:space="preserve"> (S17 * PI() / S15)^2</f>
        <v>9.8696044010893589E-4</v>
      </c>
      <c r="V18" s="7" t="s">
        <v>25</v>
      </c>
      <c r="W18" s="6">
        <f xml:space="preserve"> (W17 * PI() / W15)^2</f>
        <v>1.5791367041742974E-2</v>
      </c>
    </row>
    <row r="19" spans="1:23">
      <c r="A19" t="s">
        <v>18</v>
      </c>
      <c r="D19" t="s">
        <v>18</v>
      </c>
      <c r="G19" s="11"/>
      <c r="H19" s="11"/>
      <c r="R19" t="s">
        <v>18</v>
      </c>
      <c r="V19" t="s">
        <v>18</v>
      </c>
    </row>
    <row r="20" spans="1:23">
      <c r="A20" s="18" t="s">
        <v>12</v>
      </c>
      <c r="B20" s="18">
        <v>0.47739372068315294</v>
      </c>
      <c r="D20" s="18" t="s">
        <v>12</v>
      </c>
      <c r="E20" s="18">
        <v>0.47739372068315294</v>
      </c>
      <c r="J20" s="93"/>
      <c r="N20" s="2"/>
      <c r="R20" s="18" t="s">
        <v>12</v>
      </c>
      <c r="S20" s="18">
        <v>0.47251636089078941</v>
      </c>
      <c r="V20" s="18" t="s">
        <v>12</v>
      </c>
      <c r="W20" s="18">
        <v>0.47739372068315294</v>
      </c>
    </row>
    <row r="21" spans="1:23">
      <c r="A21" s="18" t="s">
        <v>13</v>
      </c>
      <c r="B21" s="18">
        <v>0.47739372068315289</v>
      </c>
      <c r="D21" s="18" t="s">
        <v>13</v>
      </c>
      <c r="E21" s="18">
        <v>0.47739372068315294</v>
      </c>
      <c r="Q21" s="18" t="s">
        <v>13</v>
      </c>
      <c r="R21" s="18">
        <v>0.47257748532047844</v>
      </c>
      <c r="U21" s="18" t="s">
        <v>13</v>
      </c>
      <c r="V21" s="18">
        <v>0.47739372068315289</v>
      </c>
    </row>
    <row r="22" spans="1:23">
      <c r="A22" s="18" t="s">
        <v>14</v>
      </c>
      <c r="B22" s="18">
        <v>0.99999999999999989</v>
      </c>
      <c r="D22" s="18" t="s">
        <v>14</v>
      </c>
      <c r="E22" s="18">
        <v>1</v>
      </c>
      <c r="Q22" s="18" t="s">
        <v>14</v>
      </c>
      <c r="R22" s="18">
        <v>1.0001293593931304</v>
      </c>
      <c r="U22" s="18" t="s">
        <v>14</v>
      </c>
      <c r="V22" s="18">
        <v>0.99999999999999989</v>
      </c>
    </row>
    <row r="23" spans="1:23">
      <c r="B23" s="1"/>
    </row>
    <row r="27" spans="1:23">
      <c r="E27" s="94"/>
      <c r="F27" s="94"/>
    </row>
    <row r="28" spans="1:23">
      <c r="E28" s="95"/>
      <c r="F28" s="94"/>
    </row>
    <row r="29" spans="1:23">
      <c r="C29" s="41"/>
      <c r="E29" s="95"/>
      <c r="F29" s="94"/>
    </row>
    <row r="30" spans="1:23">
      <c r="E30" s="95"/>
      <c r="F30" s="96"/>
    </row>
    <row r="31" spans="1:23">
      <c r="E31" s="95"/>
      <c r="F31" s="94"/>
    </row>
    <row r="32" spans="1:23">
      <c r="C32" s="4"/>
      <c r="E32" s="95"/>
      <c r="F32" s="94"/>
    </row>
    <row r="33" spans="1:23">
      <c r="C33" s="4"/>
      <c r="E33" s="95"/>
      <c r="F33" s="97"/>
    </row>
    <row r="34" spans="1:23">
      <c r="C34" s="4"/>
      <c r="E34" s="95"/>
      <c r="F34" s="97"/>
    </row>
    <row r="35" spans="1:23">
      <c r="C35" s="4"/>
      <c r="E35" s="95"/>
      <c r="F35" s="97"/>
    </row>
    <row r="36" spans="1:23">
      <c r="C36" s="4"/>
      <c r="E36" s="94"/>
      <c r="F36" s="97"/>
    </row>
    <row r="37" spans="1:23">
      <c r="C37" s="4"/>
      <c r="E37" s="95"/>
      <c r="F37" s="97"/>
    </row>
    <row r="38" spans="1:23">
      <c r="C38" s="19"/>
      <c r="E38" s="95"/>
      <c r="F38" s="97"/>
    </row>
    <row r="39" spans="1:23">
      <c r="C39" s="15"/>
      <c r="E39" s="95"/>
      <c r="F39" s="98"/>
    </row>
    <row r="40" spans="1:23">
      <c r="E40" s="95"/>
      <c r="F40" s="97"/>
    </row>
    <row r="41" spans="1:23">
      <c r="E41" s="95"/>
      <c r="F41" s="94"/>
    </row>
    <row r="42" spans="1:23">
      <c r="C42" s="9"/>
      <c r="E42" s="95"/>
      <c r="F42" s="94"/>
    </row>
    <row r="43" spans="1:23">
      <c r="E43" s="95"/>
      <c r="F43" s="97"/>
    </row>
    <row r="44" spans="1:23">
      <c r="E44" s="99"/>
      <c r="F44" s="94"/>
    </row>
    <row r="45" spans="1:23">
      <c r="E45" s="94"/>
      <c r="F45" s="94"/>
    </row>
    <row r="46" spans="1:23">
      <c r="A46" s="3" t="s">
        <v>2</v>
      </c>
      <c r="B46" s="3" t="s">
        <v>3</v>
      </c>
      <c r="D46" s="3" t="s">
        <v>2</v>
      </c>
      <c r="E46" s="3" t="s">
        <v>3</v>
      </c>
      <c r="F46" s="94"/>
      <c r="G46" s="3" t="s">
        <v>2</v>
      </c>
      <c r="H46" s="3" t="s">
        <v>3</v>
      </c>
      <c r="J46" s="3" t="s">
        <v>2</v>
      </c>
      <c r="K46" s="3" t="s">
        <v>3</v>
      </c>
      <c r="M46" s="3" t="s">
        <v>2</v>
      </c>
      <c r="N46" s="3" t="s">
        <v>3</v>
      </c>
      <c r="P46" s="3" t="s">
        <v>2</v>
      </c>
      <c r="Q46" s="3" t="s">
        <v>3</v>
      </c>
      <c r="S46" s="3" t="s">
        <v>2</v>
      </c>
      <c r="T46" s="3" t="s">
        <v>3</v>
      </c>
      <c r="V46" s="3" t="s">
        <v>2</v>
      </c>
      <c r="W46" s="3" t="s">
        <v>3</v>
      </c>
    </row>
    <row r="47" spans="1:23">
      <c r="A47" s="2" t="s">
        <v>0</v>
      </c>
      <c r="B47">
        <v>1</v>
      </c>
      <c r="D47" s="2" t="s">
        <v>0</v>
      </c>
      <c r="E47">
        <v>1</v>
      </c>
      <c r="F47" s="94"/>
      <c r="G47" s="2" t="s">
        <v>0</v>
      </c>
      <c r="H47">
        <v>1</v>
      </c>
      <c r="J47" s="2" t="s">
        <v>0</v>
      </c>
      <c r="K47">
        <v>1</v>
      </c>
      <c r="M47" s="2" t="s">
        <v>0</v>
      </c>
      <c r="N47">
        <v>1</v>
      </c>
      <c r="P47" s="2" t="s">
        <v>0</v>
      </c>
      <c r="Q47">
        <v>1</v>
      </c>
      <c r="S47" s="2" t="s">
        <v>0</v>
      </c>
      <c r="T47">
        <v>1</v>
      </c>
      <c r="V47" s="2" t="s">
        <v>0</v>
      </c>
      <c r="W47">
        <v>1</v>
      </c>
    </row>
    <row r="48" spans="1:23">
      <c r="A48" s="2" t="s">
        <v>1</v>
      </c>
      <c r="B48">
        <v>1</v>
      </c>
      <c r="D48" s="2" t="s">
        <v>1</v>
      </c>
      <c r="E48">
        <v>1</v>
      </c>
      <c r="F48" s="94"/>
      <c r="G48" s="2" t="s">
        <v>1</v>
      </c>
      <c r="H48">
        <v>1</v>
      </c>
      <c r="J48" s="2" t="s">
        <v>1</v>
      </c>
      <c r="K48">
        <v>1</v>
      </c>
      <c r="M48" s="2" t="s">
        <v>1</v>
      </c>
      <c r="N48">
        <v>1</v>
      </c>
      <c r="P48" s="2" t="s">
        <v>1</v>
      </c>
      <c r="Q48">
        <v>1</v>
      </c>
      <c r="S48" s="2" t="s">
        <v>1</v>
      </c>
      <c r="T48">
        <v>1</v>
      </c>
      <c r="V48" s="2" t="s">
        <v>1</v>
      </c>
      <c r="W48">
        <v>1</v>
      </c>
    </row>
    <row r="49" spans="1:23">
      <c r="A49" s="2" t="s">
        <v>4</v>
      </c>
      <c r="B49" s="101">
        <v>0.09</v>
      </c>
      <c r="D49" s="2" t="s">
        <v>4</v>
      </c>
      <c r="E49" s="41">
        <v>1</v>
      </c>
      <c r="F49" s="94"/>
      <c r="G49" s="2" t="s">
        <v>4</v>
      </c>
      <c r="H49" s="101">
        <v>0.5</v>
      </c>
      <c r="J49" s="2" t="s">
        <v>4</v>
      </c>
      <c r="K49" s="101">
        <v>0.3</v>
      </c>
      <c r="M49" s="2" t="s">
        <v>4</v>
      </c>
      <c r="N49" s="41">
        <v>1</v>
      </c>
      <c r="P49" s="2" t="s">
        <v>4</v>
      </c>
      <c r="Q49" s="41">
        <v>0.1</v>
      </c>
      <c r="S49" s="2" t="s">
        <v>4</v>
      </c>
      <c r="T49" s="41">
        <v>0.1</v>
      </c>
      <c r="V49" s="2" t="s">
        <v>4</v>
      </c>
      <c r="W49" s="41">
        <v>0.1</v>
      </c>
    </row>
    <row r="50" spans="1:23">
      <c r="A50" s="2" t="s">
        <v>5</v>
      </c>
      <c r="B50">
        <v>5</v>
      </c>
      <c r="D50" s="2" t="s">
        <v>5</v>
      </c>
      <c r="E50">
        <v>5</v>
      </c>
      <c r="F50" s="46"/>
      <c r="G50" s="2" t="s">
        <v>5</v>
      </c>
      <c r="H50">
        <v>5</v>
      </c>
      <c r="J50" s="2" t="s">
        <v>5</v>
      </c>
      <c r="K50">
        <v>5</v>
      </c>
      <c r="M50" s="2" t="s">
        <v>5</v>
      </c>
      <c r="N50">
        <v>5</v>
      </c>
      <c r="P50" s="2" t="s">
        <v>5</v>
      </c>
      <c r="Q50">
        <v>5</v>
      </c>
      <c r="S50" s="2" t="s">
        <v>5</v>
      </c>
      <c r="T50">
        <v>5</v>
      </c>
      <c r="V50" s="2" t="s">
        <v>5</v>
      </c>
      <c r="W50">
        <v>5</v>
      </c>
    </row>
    <row r="51" spans="1:23">
      <c r="A51" s="2" t="s">
        <v>6</v>
      </c>
      <c r="B51">
        <v>5</v>
      </c>
      <c r="D51" s="2" t="s">
        <v>6</v>
      </c>
      <c r="E51">
        <v>5</v>
      </c>
      <c r="G51" s="2" t="s">
        <v>6</v>
      </c>
      <c r="H51">
        <v>5</v>
      </c>
      <c r="J51" s="2" t="s">
        <v>6</v>
      </c>
      <c r="K51">
        <v>5</v>
      </c>
      <c r="M51" s="2" t="s">
        <v>6</v>
      </c>
      <c r="N51">
        <v>5</v>
      </c>
      <c r="P51" s="2" t="s">
        <v>6</v>
      </c>
      <c r="Q51" s="103">
        <v>6</v>
      </c>
      <c r="S51" s="2" t="s">
        <v>6</v>
      </c>
      <c r="T51" s="103">
        <v>7</v>
      </c>
      <c r="V51" s="2" t="s">
        <v>6</v>
      </c>
      <c r="W51" s="103">
        <v>9</v>
      </c>
    </row>
    <row r="52" spans="1:23">
      <c r="A52" s="2" t="s">
        <v>7</v>
      </c>
      <c r="B52" s="4">
        <v>0.01</v>
      </c>
      <c r="D52" s="2" t="s">
        <v>7</v>
      </c>
      <c r="E52" s="4">
        <v>0.01</v>
      </c>
      <c r="G52" s="2" t="s">
        <v>7</v>
      </c>
      <c r="H52" s="4">
        <v>0.01</v>
      </c>
      <c r="J52" s="2" t="s">
        <v>7</v>
      </c>
      <c r="K52" s="4">
        <v>0.01</v>
      </c>
      <c r="M52" s="2" t="s">
        <v>7</v>
      </c>
      <c r="N52" s="4">
        <v>0.01</v>
      </c>
      <c r="P52" s="2" t="s">
        <v>7</v>
      </c>
      <c r="Q52" s="4">
        <v>0.01</v>
      </c>
      <c r="S52" s="2" t="s">
        <v>7</v>
      </c>
      <c r="T52" s="4">
        <v>0.01</v>
      </c>
      <c r="V52" s="2" t="s">
        <v>7</v>
      </c>
      <c r="W52" s="4">
        <v>0.01</v>
      </c>
    </row>
    <row r="53" spans="1:23">
      <c r="A53" s="2" t="s">
        <v>8</v>
      </c>
      <c r="B53" s="4">
        <v>0.01</v>
      </c>
      <c r="D53" s="2" t="s">
        <v>8</v>
      </c>
      <c r="E53" s="4">
        <v>0.01</v>
      </c>
      <c r="G53" s="2" t="s">
        <v>8</v>
      </c>
      <c r="H53" s="4">
        <v>0.01</v>
      </c>
      <c r="J53" s="2" t="s">
        <v>8</v>
      </c>
      <c r="K53" s="4">
        <v>0.01</v>
      </c>
      <c r="M53" s="2" t="s">
        <v>8</v>
      </c>
      <c r="N53" s="4">
        <v>0.01</v>
      </c>
      <c r="P53" s="2" t="s">
        <v>8</v>
      </c>
      <c r="Q53" s="4">
        <v>0.01</v>
      </c>
      <c r="S53" s="2" t="s">
        <v>8</v>
      </c>
      <c r="T53" s="4">
        <v>0.01</v>
      </c>
      <c r="V53" s="2" t="s">
        <v>8</v>
      </c>
      <c r="W53" s="4">
        <v>0.01</v>
      </c>
    </row>
    <row r="54" spans="1:23">
      <c r="A54" s="14"/>
      <c r="B54" s="4"/>
      <c r="D54" s="14"/>
      <c r="E54" s="4"/>
      <c r="G54" s="14"/>
      <c r="H54" s="4"/>
      <c r="J54" s="14"/>
      <c r="K54" s="4"/>
      <c r="M54" s="14"/>
      <c r="N54" s="4"/>
      <c r="P54" s="14"/>
      <c r="Q54" s="4"/>
      <c r="S54" s="14"/>
      <c r="T54" s="4"/>
      <c r="V54" s="14"/>
      <c r="W54" s="4"/>
    </row>
    <row r="55" spans="1:23">
      <c r="B55" s="4"/>
      <c r="E55" s="4"/>
      <c r="H55" s="4"/>
      <c r="K55" s="4"/>
      <c r="N55" s="4"/>
      <c r="Q55" s="4"/>
      <c r="T55" s="4"/>
      <c r="W55" s="4"/>
    </row>
    <row r="56" spans="1:23">
      <c r="A56" s="2" t="s">
        <v>9</v>
      </c>
      <c r="B56" s="4">
        <v>0.5</v>
      </c>
      <c r="D56" s="2" t="s">
        <v>9</v>
      </c>
      <c r="E56" s="102">
        <v>1</v>
      </c>
      <c r="G56" s="2" t="s">
        <v>9</v>
      </c>
      <c r="H56" s="4">
        <v>0.5</v>
      </c>
      <c r="J56" s="2" t="s">
        <v>9</v>
      </c>
      <c r="K56" s="4">
        <v>0.5</v>
      </c>
      <c r="M56" s="2" t="s">
        <v>9</v>
      </c>
      <c r="N56" s="102">
        <v>0.3</v>
      </c>
      <c r="P56" s="2" t="s">
        <v>9</v>
      </c>
      <c r="Q56" s="4">
        <v>0.5</v>
      </c>
      <c r="S56" s="2" t="s">
        <v>9</v>
      </c>
      <c r="T56" s="4">
        <v>0.5</v>
      </c>
      <c r="V56" s="2" t="s">
        <v>9</v>
      </c>
      <c r="W56" s="4">
        <v>0.5</v>
      </c>
    </row>
    <row r="57" spans="1:23">
      <c r="A57" s="2" t="s">
        <v>10</v>
      </c>
      <c r="B57" s="4">
        <v>0.5</v>
      </c>
      <c r="D57" s="2" t="s">
        <v>10</v>
      </c>
      <c r="E57" s="102">
        <v>1</v>
      </c>
      <c r="G57" s="2" t="s">
        <v>10</v>
      </c>
      <c r="H57" s="4">
        <v>0.5</v>
      </c>
      <c r="J57" s="2" t="s">
        <v>10</v>
      </c>
      <c r="K57" s="4">
        <v>0.5</v>
      </c>
      <c r="M57" s="2" t="s">
        <v>10</v>
      </c>
      <c r="N57" s="102">
        <v>0.3</v>
      </c>
      <c r="P57" s="2" t="s">
        <v>10</v>
      </c>
      <c r="Q57" s="4">
        <v>0.5</v>
      </c>
      <c r="S57" s="2" t="s">
        <v>10</v>
      </c>
      <c r="T57" s="4">
        <v>0.5</v>
      </c>
      <c r="V57" s="2" t="s">
        <v>10</v>
      </c>
      <c r="W57" s="4">
        <v>0.5</v>
      </c>
    </row>
    <row r="58" spans="1:23">
      <c r="A58" s="2" t="s">
        <v>11</v>
      </c>
      <c r="B58" s="19">
        <v>70</v>
      </c>
      <c r="D58" s="2" t="s">
        <v>11</v>
      </c>
      <c r="E58" s="4">
        <v>0.01</v>
      </c>
      <c r="G58" s="2" t="s">
        <v>11</v>
      </c>
      <c r="H58" s="19">
        <v>80</v>
      </c>
      <c r="J58" s="2" t="s">
        <v>11</v>
      </c>
      <c r="K58" s="19">
        <v>80</v>
      </c>
      <c r="M58" s="2" t="s">
        <v>11</v>
      </c>
      <c r="N58" s="4">
        <v>0.01</v>
      </c>
      <c r="P58" s="2" t="s">
        <v>11</v>
      </c>
      <c r="Q58" s="4">
        <v>0.01</v>
      </c>
      <c r="S58" s="2" t="s">
        <v>11</v>
      </c>
      <c r="T58" s="4">
        <v>0.01</v>
      </c>
      <c r="V58" s="2" t="s">
        <v>11</v>
      </c>
      <c r="W58" s="4">
        <v>0.01</v>
      </c>
    </row>
    <row r="59" spans="1:23">
      <c r="A59" s="14"/>
      <c r="B59" s="15"/>
      <c r="D59" s="14"/>
      <c r="E59" s="15"/>
      <c r="G59" s="14"/>
      <c r="H59" s="15"/>
      <c r="J59" s="14"/>
      <c r="K59" s="15"/>
      <c r="M59" s="14"/>
      <c r="N59" s="15"/>
      <c r="P59" s="14"/>
      <c r="Q59" s="15"/>
      <c r="S59" s="14"/>
      <c r="T59" s="15"/>
      <c r="V59" s="14"/>
      <c r="W59" s="15"/>
    </row>
    <row r="60" spans="1:23">
      <c r="A60" s="2" t="s">
        <v>16</v>
      </c>
      <c r="B60">
        <v>60</v>
      </c>
      <c r="D60" s="2" t="s">
        <v>16</v>
      </c>
      <c r="E60">
        <v>60</v>
      </c>
      <c r="G60" s="2" t="s">
        <v>16</v>
      </c>
      <c r="H60">
        <v>60</v>
      </c>
      <c r="J60" s="2" t="s">
        <v>16</v>
      </c>
      <c r="K60">
        <v>60</v>
      </c>
      <c r="M60" s="2" t="s">
        <v>16</v>
      </c>
      <c r="N60">
        <v>60</v>
      </c>
      <c r="P60" s="2" t="s">
        <v>16</v>
      </c>
      <c r="Q60">
        <v>60</v>
      </c>
      <c r="S60" s="2" t="s">
        <v>16</v>
      </c>
      <c r="T60">
        <v>60</v>
      </c>
      <c r="V60" s="2" t="s">
        <v>16</v>
      </c>
      <c r="W60">
        <v>60</v>
      </c>
    </row>
    <row r="61" spans="1:23">
      <c r="A61" s="2" t="s">
        <v>17</v>
      </c>
      <c r="B61">
        <v>10</v>
      </c>
      <c r="D61" s="2" t="s">
        <v>17</v>
      </c>
      <c r="E61">
        <v>10</v>
      </c>
      <c r="G61" s="2" t="s">
        <v>17</v>
      </c>
      <c r="H61">
        <v>10</v>
      </c>
      <c r="J61" s="2" t="s">
        <v>17</v>
      </c>
      <c r="K61">
        <v>10</v>
      </c>
      <c r="M61" s="2" t="s">
        <v>17</v>
      </c>
      <c r="N61">
        <v>10</v>
      </c>
      <c r="P61" s="2" t="s">
        <v>17</v>
      </c>
      <c r="Q61">
        <v>10</v>
      </c>
      <c r="S61" s="2" t="s">
        <v>17</v>
      </c>
      <c r="T61">
        <v>10</v>
      </c>
      <c r="V61" s="2" t="s">
        <v>17</v>
      </c>
      <c r="W61">
        <v>10</v>
      </c>
    </row>
    <row r="62" spans="1:23">
      <c r="A62" s="2" t="s">
        <v>24</v>
      </c>
      <c r="B62" s="9">
        <v>4</v>
      </c>
      <c r="D62" s="2" t="s">
        <v>24</v>
      </c>
      <c r="E62" s="9">
        <v>3</v>
      </c>
      <c r="G62" s="2" t="s">
        <v>24</v>
      </c>
      <c r="H62" s="9">
        <v>4</v>
      </c>
      <c r="J62" s="2" t="s">
        <v>24</v>
      </c>
      <c r="K62" s="9">
        <v>4</v>
      </c>
      <c r="M62" s="2" t="s">
        <v>24</v>
      </c>
      <c r="N62" s="9">
        <v>5</v>
      </c>
      <c r="P62" s="2" t="s">
        <v>24</v>
      </c>
      <c r="Q62" s="9">
        <v>4</v>
      </c>
      <c r="S62" s="2" t="s">
        <v>24</v>
      </c>
      <c r="T62" s="9">
        <v>3</v>
      </c>
      <c r="V62" s="2" t="s">
        <v>24</v>
      </c>
      <c r="W62" s="9">
        <v>2</v>
      </c>
    </row>
    <row r="63" spans="1:23">
      <c r="D63" s="12" t="s">
        <v>45</v>
      </c>
      <c r="E63" s="90">
        <v>1573.5761415931825</v>
      </c>
      <c r="M63" s="12" t="s">
        <v>45</v>
      </c>
      <c r="N63" s="90">
        <v>460.91614977675738</v>
      </c>
      <c r="P63" s="12" t="s">
        <v>45</v>
      </c>
      <c r="Q63" s="90">
        <v>102.67248566617718</v>
      </c>
      <c r="S63" s="12" t="s">
        <v>45</v>
      </c>
      <c r="T63" s="90">
        <v>172.62793996100814</v>
      </c>
      <c r="V63" s="12" t="s">
        <v>45</v>
      </c>
      <c r="W63" s="90">
        <v>2298.3865420077113</v>
      </c>
    </row>
    <row r="64" spans="1:23">
      <c r="A64" s="3" t="s">
        <v>2</v>
      </c>
      <c r="B64" s="3" t="s">
        <v>3</v>
      </c>
      <c r="G64" s="3" t="s">
        <v>2</v>
      </c>
      <c r="H64" s="3" t="s">
        <v>3</v>
      </c>
      <c r="J64" s="3" t="s">
        <v>2</v>
      </c>
      <c r="K64" s="3" t="s">
        <v>3</v>
      </c>
    </row>
    <row r="65" spans="1:23">
      <c r="A65" s="2" t="s">
        <v>0</v>
      </c>
      <c r="B65">
        <v>1</v>
      </c>
      <c r="D65" s="3" t="s">
        <v>2</v>
      </c>
      <c r="E65" s="3" t="s">
        <v>3</v>
      </c>
      <c r="G65" s="2" t="s">
        <v>0</v>
      </c>
      <c r="H65">
        <v>1</v>
      </c>
      <c r="J65" s="2" t="s">
        <v>0</v>
      </c>
      <c r="K65" s="103">
        <v>0.5</v>
      </c>
      <c r="M65" s="3" t="s">
        <v>2</v>
      </c>
      <c r="N65" s="3" t="s">
        <v>3</v>
      </c>
      <c r="P65" s="3" t="s">
        <v>2</v>
      </c>
      <c r="Q65" s="3" t="s">
        <v>3</v>
      </c>
      <c r="S65" s="3" t="s">
        <v>2</v>
      </c>
      <c r="T65" s="3" t="s">
        <v>3</v>
      </c>
      <c r="V65" s="3" t="s">
        <v>2</v>
      </c>
      <c r="W65" s="3" t="s">
        <v>3</v>
      </c>
    </row>
    <row r="66" spans="1:23">
      <c r="A66" s="2" t="s">
        <v>1</v>
      </c>
      <c r="B66">
        <v>1</v>
      </c>
      <c r="D66" s="2" t="s">
        <v>0</v>
      </c>
      <c r="E66">
        <v>1</v>
      </c>
      <c r="G66" s="2" t="s">
        <v>1</v>
      </c>
      <c r="H66">
        <v>1</v>
      </c>
      <c r="J66" s="2" t="s">
        <v>1</v>
      </c>
      <c r="K66" s="103">
        <v>0.5</v>
      </c>
      <c r="M66" s="2" t="s">
        <v>0</v>
      </c>
      <c r="N66" s="103">
        <v>0.3</v>
      </c>
      <c r="P66" s="2" t="s">
        <v>0</v>
      </c>
      <c r="Q66">
        <v>1</v>
      </c>
      <c r="S66" s="2" t="s">
        <v>0</v>
      </c>
      <c r="T66">
        <v>1</v>
      </c>
      <c r="V66" s="2" t="s">
        <v>0</v>
      </c>
      <c r="W66">
        <v>1</v>
      </c>
    </row>
    <row r="67" spans="1:23">
      <c r="A67" s="2" t="s">
        <v>4</v>
      </c>
      <c r="B67" s="41">
        <v>0.1</v>
      </c>
      <c r="D67" s="2" t="s">
        <v>1</v>
      </c>
      <c r="E67">
        <v>1</v>
      </c>
      <c r="G67" s="2" t="s">
        <v>4</v>
      </c>
      <c r="H67" s="101">
        <v>1</v>
      </c>
      <c r="J67" s="2" t="s">
        <v>4</v>
      </c>
      <c r="K67" s="41">
        <v>0.1</v>
      </c>
      <c r="M67" s="2" t="s">
        <v>1</v>
      </c>
      <c r="N67" s="103">
        <v>0.3</v>
      </c>
      <c r="P67" s="2" t="s">
        <v>1</v>
      </c>
      <c r="Q67">
        <v>1</v>
      </c>
      <c r="S67" s="2" t="s">
        <v>1</v>
      </c>
      <c r="T67">
        <v>1</v>
      </c>
      <c r="V67" s="2" t="s">
        <v>1</v>
      </c>
      <c r="W67">
        <v>1</v>
      </c>
    </row>
    <row r="68" spans="1:23">
      <c r="A68" s="2" t="s">
        <v>5</v>
      </c>
      <c r="B68">
        <v>5</v>
      </c>
      <c r="D68" s="2" t="s">
        <v>4</v>
      </c>
      <c r="E68" s="41">
        <v>0.1</v>
      </c>
      <c r="G68" s="2" t="s">
        <v>5</v>
      </c>
      <c r="H68">
        <v>5</v>
      </c>
      <c r="J68" s="2" t="s">
        <v>5</v>
      </c>
      <c r="K68">
        <v>5</v>
      </c>
      <c r="M68" s="2" t="s">
        <v>4</v>
      </c>
      <c r="N68" s="41">
        <v>0.1</v>
      </c>
      <c r="P68" s="2" t="s">
        <v>4</v>
      </c>
      <c r="Q68" s="41">
        <v>0.1</v>
      </c>
      <c r="S68" s="2" t="s">
        <v>4</v>
      </c>
      <c r="T68" s="41">
        <v>0.1</v>
      </c>
      <c r="V68" s="2" t="s">
        <v>4</v>
      </c>
      <c r="W68" s="41">
        <v>0.1</v>
      </c>
    </row>
    <row r="69" spans="1:23">
      <c r="A69" s="2" t="s">
        <v>6</v>
      </c>
      <c r="B69">
        <v>5</v>
      </c>
      <c r="D69" s="2" t="s">
        <v>5</v>
      </c>
      <c r="E69">
        <v>5</v>
      </c>
      <c r="G69" s="2" t="s">
        <v>6</v>
      </c>
      <c r="H69">
        <v>5</v>
      </c>
      <c r="J69" s="2" t="s">
        <v>6</v>
      </c>
      <c r="K69">
        <v>5</v>
      </c>
      <c r="M69" s="2" t="s">
        <v>5</v>
      </c>
      <c r="N69">
        <v>5</v>
      </c>
      <c r="P69" s="2" t="s">
        <v>5</v>
      </c>
      <c r="Q69">
        <v>5</v>
      </c>
      <c r="S69" s="2" t="s">
        <v>5</v>
      </c>
      <c r="T69">
        <v>5</v>
      </c>
      <c r="V69" s="2" t="s">
        <v>5</v>
      </c>
      <c r="W69">
        <v>5</v>
      </c>
    </row>
    <row r="70" spans="1:23">
      <c r="A70" s="2" t="s">
        <v>7</v>
      </c>
      <c r="B70" s="102">
        <v>0.03</v>
      </c>
      <c r="D70" s="2" t="s">
        <v>6</v>
      </c>
      <c r="E70">
        <v>5</v>
      </c>
      <c r="G70" s="2" t="s">
        <v>7</v>
      </c>
      <c r="H70" s="4">
        <v>0.01</v>
      </c>
      <c r="J70" s="2" t="s">
        <v>7</v>
      </c>
      <c r="K70" s="4">
        <v>0.01</v>
      </c>
      <c r="M70" s="2" t="s">
        <v>6</v>
      </c>
      <c r="N70">
        <v>5</v>
      </c>
      <c r="P70" s="2" t="s">
        <v>6</v>
      </c>
      <c r="Q70" s="103">
        <v>4</v>
      </c>
      <c r="S70" s="2" t="s">
        <v>6</v>
      </c>
      <c r="T70" s="103">
        <v>3</v>
      </c>
      <c r="V70" s="2" t="s">
        <v>6</v>
      </c>
      <c r="W70" s="103">
        <v>2.36</v>
      </c>
    </row>
    <row r="71" spans="1:23">
      <c r="A71" s="2" t="s">
        <v>8</v>
      </c>
      <c r="B71" s="102">
        <v>0.03</v>
      </c>
      <c r="D71" s="2" t="s">
        <v>7</v>
      </c>
      <c r="E71" s="102">
        <v>0.04</v>
      </c>
      <c r="G71" s="2" t="s">
        <v>8</v>
      </c>
      <c r="H71" s="4">
        <v>0.01</v>
      </c>
      <c r="J71" s="2" t="s">
        <v>8</v>
      </c>
      <c r="K71" s="4">
        <v>0.01</v>
      </c>
      <c r="M71" s="2" t="s">
        <v>7</v>
      </c>
      <c r="N71" s="4">
        <v>0.01</v>
      </c>
      <c r="P71" s="2" t="s">
        <v>7</v>
      </c>
      <c r="Q71" s="4">
        <v>0.01</v>
      </c>
      <c r="S71" s="2" t="s">
        <v>7</v>
      </c>
      <c r="T71" s="4">
        <v>0.01</v>
      </c>
      <c r="V71" s="2" t="s">
        <v>7</v>
      </c>
      <c r="W71" s="4">
        <v>0.01</v>
      </c>
    </row>
    <row r="72" spans="1:23">
      <c r="A72" s="14"/>
      <c r="B72" s="4"/>
      <c r="D72" s="2" t="s">
        <v>8</v>
      </c>
      <c r="E72" s="102">
        <v>0.04</v>
      </c>
      <c r="G72" s="14"/>
      <c r="H72" s="4"/>
      <c r="J72" s="14"/>
      <c r="K72" s="4"/>
      <c r="M72" s="2" t="s">
        <v>8</v>
      </c>
      <c r="N72" s="4">
        <v>0.01</v>
      </c>
      <c r="P72" s="2" t="s">
        <v>8</v>
      </c>
      <c r="Q72" s="4">
        <v>0.01</v>
      </c>
      <c r="S72" s="2" t="s">
        <v>8</v>
      </c>
      <c r="T72" s="4">
        <v>0.01</v>
      </c>
      <c r="V72" s="2" t="s">
        <v>8</v>
      </c>
      <c r="W72" s="4">
        <v>0.01</v>
      </c>
    </row>
    <row r="73" spans="1:23">
      <c r="B73" s="4"/>
      <c r="D73" s="14"/>
      <c r="E73" s="4"/>
      <c r="H73" s="4"/>
      <c r="K73" s="4"/>
      <c r="M73" s="14"/>
      <c r="N73" s="4"/>
      <c r="P73" s="14"/>
      <c r="Q73" s="4"/>
      <c r="S73" s="14"/>
      <c r="T73" s="4"/>
      <c r="V73" s="14"/>
      <c r="W73" s="4"/>
    </row>
    <row r="74" spans="1:23">
      <c r="A74" s="2" t="s">
        <v>9</v>
      </c>
      <c r="B74" s="4">
        <v>0.5</v>
      </c>
      <c r="E74" s="4"/>
      <c r="G74" s="2" t="s">
        <v>9</v>
      </c>
      <c r="H74" s="4">
        <v>0.5</v>
      </c>
      <c r="J74" s="2" t="s">
        <v>9</v>
      </c>
      <c r="K74" s="4">
        <v>0.5</v>
      </c>
      <c r="N74" s="4"/>
      <c r="Q74" s="4"/>
      <c r="T74" s="4"/>
      <c r="W74" s="4"/>
    </row>
    <row r="75" spans="1:23">
      <c r="A75" s="2" t="s">
        <v>10</v>
      </c>
      <c r="B75" s="4">
        <v>0.5</v>
      </c>
      <c r="D75" s="2" t="s">
        <v>9</v>
      </c>
      <c r="E75" s="4">
        <v>0.5</v>
      </c>
      <c r="G75" s="2" t="s">
        <v>10</v>
      </c>
      <c r="H75" s="4">
        <v>0.5</v>
      </c>
      <c r="J75" s="2" t="s">
        <v>10</v>
      </c>
      <c r="K75" s="4">
        <v>0.5</v>
      </c>
      <c r="M75" s="2" t="s">
        <v>9</v>
      </c>
      <c r="N75" s="4">
        <v>0.5</v>
      </c>
      <c r="P75" s="2" t="s">
        <v>9</v>
      </c>
      <c r="Q75" s="4">
        <v>0.5</v>
      </c>
      <c r="S75" s="2" t="s">
        <v>9</v>
      </c>
      <c r="T75" s="4">
        <v>0.5</v>
      </c>
      <c r="V75" s="2" t="s">
        <v>9</v>
      </c>
      <c r="W75" s="4">
        <v>0.5</v>
      </c>
    </row>
    <row r="76" spans="1:23">
      <c r="A76" s="2" t="s">
        <v>11</v>
      </c>
      <c r="B76" s="4">
        <v>0.01</v>
      </c>
      <c r="D76" s="2" t="s">
        <v>10</v>
      </c>
      <c r="E76" s="4">
        <v>0.5</v>
      </c>
      <c r="G76" s="2" t="s">
        <v>11</v>
      </c>
      <c r="H76" s="4">
        <v>0.01</v>
      </c>
      <c r="J76" s="2" t="s">
        <v>11</v>
      </c>
      <c r="K76" s="4">
        <v>0.01</v>
      </c>
      <c r="M76" s="2" t="s">
        <v>10</v>
      </c>
      <c r="N76" s="4">
        <v>0.5</v>
      </c>
      <c r="P76" s="2" t="s">
        <v>10</v>
      </c>
      <c r="Q76" s="4">
        <v>0.5</v>
      </c>
      <c r="S76" s="2" t="s">
        <v>10</v>
      </c>
      <c r="T76" s="4">
        <v>0.5</v>
      </c>
      <c r="V76" s="2" t="s">
        <v>10</v>
      </c>
      <c r="W76" s="4">
        <v>0.5</v>
      </c>
    </row>
    <row r="77" spans="1:23">
      <c r="A77" s="14"/>
      <c r="B77" s="15"/>
      <c r="D77" s="2" t="s">
        <v>11</v>
      </c>
      <c r="E77" s="4">
        <v>0.01</v>
      </c>
      <c r="G77" s="14"/>
      <c r="H77" s="15"/>
      <c r="J77" s="14"/>
      <c r="K77" s="15"/>
      <c r="M77" s="2" t="s">
        <v>11</v>
      </c>
      <c r="N77" s="4">
        <v>0.01</v>
      </c>
      <c r="P77" s="2" t="s">
        <v>11</v>
      </c>
      <c r="Q77" s="4">
        <v>0.01</v>
      </c>
      <c r="S77" s="2" t="s">
        <v>11</v>
      </c>
      <c r="T77" s="4">
        <v>0.01</v>
      </c>
      <c r="V77" s="2" t="s">
        <v>11</v>
      </c>
      <c r="W77" s="4">
        <v>0.01</v>
      </c>
    </row>
    <row r="78" spans="1:23">
      <c r="A78" s="2" t="s">
        <v>16</v>
      </c>
      <c r="B78">
        <v>60</v>
      </c>
      <c r="D78" s="14"/>
      <c r="E78" s="15"/>
      <c r="G78" s="2" t="s">
        <v>16</v>
      </c>
      <c r="H78">
        <v>60</v>
      </c>
      <c r="J78" s="2" t="s">
        <v>16</v>
      </c>
      <c r="K78">
        <v>60</v>
      </c>
      <c r="M78" s="14"/>
      <c r="N78" s="15"/>
      <c r="P78" s="14"/>
      <c r="Q78" s="15"/>
      <c r="S78" s="14"/>
      <c r="T78" s="15"/>
      <c r="V78" s="14"/>
      <c r="W78" s="15"/>
    </row>
    <row r="79" spans="1:23">
      <c r="A79" s="2" t="s">
        <v>17</v>
      </c>
      <c r="B79">
        <v>10</v>
      </c>
      <c r="D79" s="2" t="s">
        <v>16</v>
      </c>
      <c r="E79">
        <v>60</v>
      </c>
      <c r="G79" s="2" t="s">
        <v>17</v>
      </c>
      <c r="H79">
        <v>10</v>
      </c>
      <c r="J79" s="2" t="s">
        <v>17</v>
      </c>
      <c r="K79">
        <v>10</v>
      </c>
      <c r="M79" s="2" t="s">
        <v>16</v>
      </c>
      <c r="N79">
        <v>60</v>
      </c>
      <c r="P79" s="2" t="s">
        <v>16</v>
      </c>
      <c r="Q79">
        <v>60</v>
      </c>
      <c r="S79" s="2" t="s">
        <v>16</v>
      </c>
      <c r="T79">
        <v>60</v>
      </c>
      <c r="V79" s="2" t="s">
        <v>16</v>
      </c>
      <c r="W79">
        <v>60</v>
      </c>
    </row>
    <row r="80" spans="1:23">
      <c r="A80" s="2" t="s">
        <v>24</v>
      </c>
      <c r="B80" s="9">
        <v>3</v>
      </c>
      <c r="D80" s="2" t="s">
        <v>17</v>
      </c>
      <c r="E80">
        <v>10</v>
      </c>
      <c r="G80" s="2" t="s">
        <v>24</v>
      </c>
      <c r="H80" s="9">
        <v>4</v>
      </c>
      <c r="J80" s="2" t="s">
        <v>24</v>
      </c>
      <c r="K80" s="9">
        <v>2</v>
      </c>
      <c r="M80" s="2" t="s">
        <v>17</v>
      </c>
      <c r="N80">
        <v>10</v>
      </c>
      <c r="P80" s="2" t="s">
        <v>17</v>
      </c>
      <c r="Q80">
        <v>10</v>
      </c>
      <c r="S80" s="2" t="s">
        <v>17</v>
      </c>
      <c r="T80">
        <v>10</v>
      </c>
      <c r="V80" s="2" t="s">
        <v>17</v>
      </c>
      <c r="W80">
        <v>10</v>
      </c>
    </row>
    <row r="81" spans="1:23">
      <c r="A81" s="12" t="s">
        <v>45</v>
      </c>
      <c r="B81" s="90">
        <v>448.79763097911973</v>
      </c>
      <c r="D81" s="2" t="s">
        <v>24</v>
      </c>
      <c r="E81" s="9">
        <v>1</v>
      </c>
      <c r="J81" s="12" t="s">
        <v>45</v>
      </c>
      <c r="K81" s="90">
        <v>322.45211243412632</v>
      </c>
      <c r="M81" s="2" t="s">
        <v>24</v>
      </c>
      <c r="N81" s="9">
        <v>1</v>
      </c>
      <c r="P81" s="2" t="s">
        <v>24</v>
      </c>
      <c r="Q81" s="9">
        <v>4</v>
      </c>
      <c r="S81" s="2" t="s">
        <v>24</v>
      </c>
      <c r="T81" s="9">
        <v>3</v>
      </c>
      <c r="V81" s="2" t="s">
        <v>24</v>
      </c>
      <c r="W81" s="9">
        <v>1</v>
      </c>
    </row>
    <row r="82" spans="1:23">
      <c r="D82" s="12" t="s">
        <v>45</v>
      </c>
      <c r="E82" s="90">
        <v>4916.1634497761797</v>
      </c>
      <c r="M82" s="12" t="s">
        <v>45</v>
      </c>
      <c r="N82" s="90">
        <v>2531.5699927570122</v>
      </c>
      <c r="P82" s="12" t="s">
        <v>45</v>
      </c>
      <c r="Q82" s="90">
        <v>81.507677529948964</v>
      </c>
      <c r="S82" s="12" t="s">
        <v>45</v>
      </c>
      <c r="T82" s="90">
        <v>198.2460234221615</v>
      </c>
      <c r="V82" s="12" t="s">
        <v>45</v>
      </c>
      <c r="W82" s="90">
        <v>53791.740145374875</v>
      </c>
    </row>
    <row r="84" spans="1:23">
      <c r="A84" t="s">
        <v>82</v>
      </c>
      <c r="D84" s="3" t="s">
        <v>2</v>
      </c>
      <c r="E84" s="3" t="s">
        <v>3</v>
      </c>
      <c r="J84" t="s">
        <v>73</v>
      </c>
      <c r="P84" t="s">
        <v>72</v>
      </c>
    </row>
    <row r="85" spans="1:23">
      <c r="D85" s="2" t="s">
        <v>0</v>
      </c>
      <c r="E85">
        <v>1</v>
      </c>
    </row>
    <row r="86" spans="1:23">
      <c r="D86" s="2" t="s">
        <v>1</v>
      </c>
      <c r="E86">
        <v>1</v>
      </c>
    </row>
    <row r="87" spans="1:23">
      <c r="D87" s="2" t="s">
        <v>4</v>
      </c>
      <c r="E87" s="41">
        <v>0.1</v>
      </c>
      <c r="H87" s="43" t="s">
        <v>6</v>
      </c>
      <c r="I87" s="44">
        <v>3</v>
      </c>
      <c r="J87" s="44">
        <v>4</v>
      </c>
      <c r="K87" s="44">
        <v>5</v>
      </c>
      <c r="L87" s="44">
        <v>6</v>
      </c>
      <c r="M87" s="45">
        <v>7</v>
      </c>
      <c r="N87">
        <v>9</v>
      </c>
      <c r="O87" t="s">
        <v>84</v>
      </c>
    </row>
    <row r="88" spans="1:23">
      <c r="D88" s="2" t="s">
        <v>5</v>
      </c>
      <c r="E88">
        <v>5</v>
      </c>
      <c r="H88" s="34" t="s">
        <v>24</v>
      </c>
      <c r="I88" s="46">
        <v>3</v>
      </c>
      <c r="J88" s="46">
        <v>4</v>
      </c>
      <c r="K88" s="46">
        <v>4</v>
      </c>
      <c r="L88" s="46">
        <v>4</v>
      </c>
      <c r="M88" s="35">
        <v>3</v>
      </c>
      <c r="N88">
        <v>2</v>
      </c>
      <c r="O88" t="s">
        <v>85</v>
      </c>
    </row>
    <row r="89" spans="1:23">
      <c r="D89" s="2" t="s">
        <v>6</v>
      </c>
      <c r="E89">
        <v>5</v>
      </c>
      <c r="H89" s="47" t="s">
        <v>83</v>
      </c>
      <c r="I89" s="104">
        <v>198.2460234221615</v>
      </c>
      <c r="J89" s="104">
        <v>81.507677529948964</v>
      </c>
      <c r="K89" s="104">
        <v>76.797691171241297</v>
      </c>
      <c r="L89" s="104">
        <v>102.67248566617718</v>
      </c>
      <c r="M89" s="105">
        <v>172.62793996100814</v>
      </c>
      <c r="N89" s="90">
        <v>2298.3865420077113</v>
      </c>
    </row>
    <row r="90" spans="1:23">
      <c r="D90" s="2" t="s">
        <v>7</v>
      </c>
      <c r="E90" s="102">
        <v>8.0000000000000002E-3</v>
      </c>
    </row>
    <row r="91" spans="1:23">
      <c r="D91" s="2" t="s">
        <v>8</v>
      </c>
      <c r="E91" s="102">
        <v>8.0000000000000002E-3</v>
      </c>
      <c r="H91" s="43" t="s">
        <v>86</v>
      </c>
      <c r="I91" s="44">
        <v>0.3</v>
      </c>
      <c r="J91" s="44">
        <v>0.5</v>
      </c>
      <c r="K91" s="45">
        <v>1</v>
      </c>
      <c r="L91" t="s">
        <v>87</v>
      </c>
    </row>
    <row r="92" spans="1:23">
      <c r="D92" s="14"/>
      <c r="E92" s="4"/>
      <c r="H92" s="34" t="s">
        <v>24</v>
      </c>
      <c r="I92" s="46">
        <v>1</v>
      </c>
      <c r="J92" s="46">
        <v>2</v>
      </c>
      <c r="K92" s="35">
        <v>4</v>
      </c>
    </row>
    <row r="93" spans="1:23">
      <c r="E93" s="4"/>
      <c r="H93" s="47" t="s">
        <v>83</v>
      </c>
      <c r="I93" s="104">
        <v>2531.5699927570122</v>
      </c>
      <c r="J93" s="104">
        <v>322.45211243412632</v>
      </c>
      <c r="K93" s="105">
        <v>76.797691171241297</v>
      </c>
    </row>
    <row r="94" spans="1:23">
      <c r="D94" s="2" t="s">
        <v>9</v>
      </c>
      <c r="E94" s="4">
        <v>0.5</v>
      </c>
    </row>
    <row r="95" spans="1:23">
      <c r="D95" s="2" t="s">
        <v>10</v>
      </c>
      <c r="E95" s="4">
        <v>0.5</v>
      </c>
      <c r="H95" s="43" t="s">
        <v>88</v>
      </c>
      <c r="I95" s="44">
        <v>0.01</v>
      </c>
      <c r="J95" s="44">
        <v>0.03</v>
      </c>
      <c r="K95" s="45">
        <v>0.02</v>
      </c>
    </row>
    <row r="96" spans="1:23">
      <c r="D96" s="2" t="s">
        <v>11</v>
      </c>
      <c r="E96" s="4">
        <v>0.01</v>
      </c>
      <c r="H96" s="34" t="s">
        <v>24</v>
      </c>
      <c r="I96" s="46">
        <v>4</v>
      </c>
      <c r="J96" s="46">
        <v>3</v>
      </c>
      <c r="K96" s="35">
        <v>3</v>
      </c>
    </row>
    <row r="97" spans="4:13">
      <c r="D97" s="14"/>
      <c r="E97" s="15"/>
      <c r="H97" s="47" t="s">
        <v>83</v>
      </c>
      <c r="I97" s="104">
        <v>76.797691171241297</v>
      </c>
      <c r="J97" s="104">
        <v>448.79763097911973</v>
      </c>
      <c r="K97" s="105">
        <v>154.09769203792669</v>
      </c>
    </row>
    <row r="98" spans="4:13">
      <c r="D98" s="2" t="s">
        <v>16</v>
      </c>
      <c r="E98">
        <v>60</v>
      </c>
    </row>
    <row r="99" spans="4:13">
      <c r="D99" s="2" t="s">
        <v>17</v>
      </c>
      <c r="E99">
        <v>10</v>
      </c>
      <c r="H99" s="43" t="s">
        <v>89</v>
      </c>
      <c r="I99" s="44">
        <v>1</v>
      </c>
      <c r="J99" s="44">
        <v>0.1</v>
      </c>
      <c r="K99" s="44">
        <v>0.09</v>
      </c>
      <c r="L99" s="106">
        <v>1.5</v>
      </c>
    </row>
    <row r="100" spans="4:13">
      <c r="D100" s="2" t="s">
        <v>24</v>
      </c>
      <c r="E100" s="9">
        <v>4</v>
      </c>
      <c r="H100" s="34" t="s">
        <v>24</v>
      </c>
      <c r="I100" s="46">
        <v>4</v>
      </c>
      <c r="J100" s="46">
        <v>4</v>
      </c>
      <c r="K100" s="46">
        <v>4</v>
      </c>
      <c r="L100" s="35">
        <v>4</v>
      </c>
    </row>
    <row r="101" spans="4:13">
      <c r="D101" s="12" t="s">
        <v>45</v>
      </c>
      <c r="E101" s="90">
        <v>68.855191315691656</v>
      </c>
      <c r="H101" s="47" t="s">
        <v>83</v>
      </c>
      <c r="I101" s="104">
        <v>767.97691171241297</v>
      </c>
      <c r="J101" s="104" t="s">
        <v>90</v>
      </c>
      <c r="K101" s="104">
        <v>69.117922054117159</v>
      </c>
      <c r="L101" s="105">
        <v>1151.9653675686193</v>
      </c>
    </row>
    <row r="103" spans="4:13">
      <c r="H103" s="43" t="s">
        <v>91</v>
      </c>
      <c r="I103" s="44">
        <v>0.3</v>
      </c>
      <c r="J103" s="44">
        <v>0.5</v>
      </c>
      <c r="K103" s="44">
        <v>0.6</v>
      </c>
      <c r="L103" s="44">
        <v>1</v>
      </c>
      <c r="M103" s="45">
        <v>0.2</v>
      </c>
    </row>
    <row r="104" spans="4:13">
      <c r="H104" s="34" t="s">
        <v>24</v>
      </c>
      <c r="I104" s="46">
        <v>5</v>
      </c>
      <c r="J104" s="46">
        <v>4</v>
      </c>
      <c r="K104" s="46">
        <v>4</v>
      </c>
      <c r="L104" s="46">
        <v>3</v>
      </c>
      <c r="M104" s="35">
        <v>6</v>
      </c>
    </row>
    <row r="105" spans="4:13">
      <c r="H105" s="47" t="s">
        <v>83</v>
      </c>
      <c r="I105" s="104" t="s">
        <v>92</v>
      </c>
      <c r="J105" s="104" t="s">
        <v>90</v>
      </c>
      <c r="K105" s="104" t="s">
        <v>93</v>
      </c>
      <c r="L105" s="104" t="s">
        <v>94</v>
      </c>
      <c r="M105" s="105">
        <v>30.854218851190524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BAF5D-264D-465F-82F2-60C0D0CCDDAF}">
  <sheetPr codeName="Лист3"/>
  <dimension ref="A1:V57"/>
  <sheetViews>
    <sheetView tabSelected="1" zoomScale="86" zoomScaleNormal="55" workbookViewId="0">
      <selection activeCell="F13" sqref="F13"/>
    </sheetView>
  </sheetViews>
  <sheetFormatPr defaultRowHeight="14.4"/>
  <cols>
    <col min="1" max="1" width="10.5546875" customWidth="1"/>
    <col min="2" max="2" width="23.88671875" customWidth="1"/>
    <col min="3" max="3" width="12.109375" customWidth="1"/>
    <col min="4" max="4" width="13.88671875" customWidth="1"/>
    <col min="5" max="5" width="16.5546875" customWidth="1"/>
    <col min="6" max="6" width="14.88671875" customWidth="1"/>
    <col min="7" max="7" width="11.6640625" customWidth="1"/>
    <col min="8" max="8" width="13.88671875" customWidth="1"/>
    <col min="9" max="9" width="13.77734375" customWidth="1"/>
    <col min="10" max="10" width="13.6640625" customWidth="1"/>
    <col min="11" max="11" width="10.5546875" customWidth="1"/>
    <col min="12" max="12" width="15.5546875" customWidth="1"/>
    <col min="13" max="13" width="15.44140625" customWidth="1"/>
    <col min="14" max="14" width="11.44140625" customWidth="1"/>
    <col min="16" max="16" width="13.109375" customWidth="1"/>
    <col min="17" max="17" width="14.77734375" customWidth="1"/>
    <col min="20" max="20" width="12.5546875" customWidth="1"/>
    <col min="21" max="21" width="15.21875" customWidth="1"/>
    <col min="22" max="22" width="11.44140625" bestFit="1" customWidth="1"/>
  </cols>
  <sheetData>
    <row r="1" spans="1:22">
      <c r="A1" s="3" t="s">
        <v>2</v>
      </c>
      <c r="B1" s="3" t="s">
        <v>3</v>
      </c>
      <c r="H1" s="80" t="s">
        <v>15</v>
      </c>
      <c r="I1" s="81"/>
      <c r="J1" s="82"/>
      <c r="L1" s="66" t="s">
        <v>26</v>
      </c>
      <c r="M1" s="67"/>
      <c r="N1" s="68"/>
      <c r="P1" s="51" t="s">
        <v>27</v>
      </c>
      <c r="Q1" s="52"/>
      <c r="R1" s="53"/>
      <c r="T1" s="51" t="s">
        <v>28</v>
      </c>
      <c r="U1" s="52"/>
      <c r="V1" s="53"/>
    </row>
    <row r="2" spans="1:22">
      <c r="A2" s="2" t="s">
        <v>0</v>
      </c>
      <c r="B2">
        <v>1</v>
      </c>
      <c r="H2" s="83">
        <f>-B2</f>
        <v>-1</v>
      </c>
      <c r="I2" s="84">
        <f>-B2*B22*(2*B5*B21)/((1+B5*B21^2)^2)</f>
        <v>-1.0428994758996069</v>
      </c>
      <c r="J2" s="85">
        <f>B2/(1+B5*B21^2)</f>
        <v>0.46739372068315299</v>
      </c>
      <c r="L2" s="79">
        <f>-$B$2 - $B$11*$B$18</f>
        <v>-1.0219324542246431</v>
      </c>
      <c r="M2" s="70">
        <f>-(B2*B22*2*B5*B21)/((1+B5*B21^2)^2)</f>
        <v>-1.0428994758996069</v>
      </c>
      <c r="N2" s="71">
        <f>B2/(1+B5*B21^2)</f>
        <v>0.46739372068315299</v>
      </c>
      <c r="P2" s="54">
        <f>-$B$2 - $B$11*$C$18</f>
        <v>-1.0054831135561608</v>
      </c>
      <c r="Q2" s="55">
        <f>-$B$2*$B$22*(2*$B$5*$B$21)/((1+$B$5*$B$21^2)^2)</f>
        <v>-1.0428994758996069</v>
      </c>
      <c r="R2" s="56">
        <f>$B$2/(1+$B$5*$B$21^2)</f>
        <v>0.46739372068315299</v>
      </c>
      <c r="T2" s="54">
        <f>-$B$2 - $B$11*$D$18</f>
        <v>-1.0123370055013616</v>
      </c>
      <c r="U2" s="77">
        <f>-$B$2*$B$22*(2*$B$5*$B$21)/((1+$B$5*$B$21^2)^2)</f>
        <v>-1.0428994758996069</v>
      </c>
      <c r="V2" s="78">
        <f>$B$2/(1+$B$5*$B$21^2)</f>
        <v>0.46739372068315299</v>
      </c>
    </row>
    <row r="3" spans="1:22">
      <c r="A3" s="2" t="s">
        <v>1</v>
      </c>
      <c r="B3">
        <v>1</v>
      </c>
      <c r="H3" s="86">
        <f>-B3*(2*B6*B20*B22)/((1+B6*B20^2*B22)^2)</f>
        <v>-1.0428994758996066</v>
      </c>
      <c r="I3" s="84">
        <f>-B3</f>
        <v>-1</v>
      </c>
      <c r="J3" s="85">
        <f>-B3*(B6*B20^2)/((1+B6*B20^2*B22)^2)</f>
        <v>-0.24893683054911175</v>
      </c>
      <c r="L3" s="69">
        <f>-B3*(2*B6*B20*B22)/((1+B6*B20^2*B22)^2)</f>
        <v>-1.0428994758996066</v>
      </c>
      <c r="M3" s="70">
        <f>-B3 - B12*B18</f>
        <v>-1.0219324542246431</v>
      </c>
      <c r="N3" s="71">
        <f>-B3*(B6*B20^2)/((1+B6*B20^2*B22)^2)</f>
        <v>-0.24893683054911175</v>
      </c>
      <c r="P3" s="54">
        <f>-$B$3*(2*$B$6*$B$20*$B$22)/((1+$B$6*$B$20^2*$B$22)^2)</f>
        <v>-1.0428994758996066</v>
      </c>
      <c r="Q3" s="55">
        <f>-$B$3 - $B$12*$C$18</f>
        <v>-1.0054831135561608</v>
      </c>
      <c r="R3" s="56">
        <f>-$B$3*($B$6*$B$20^2)/((1+$B$6*$B$20^2*$B$22)^2)</f>
        <v>-0.24893683054911175</v>
      </c>
      <c r="T3" s="54">
        <f>-$B$3*(2*$B$6*$B$20*$B$22)/((1+$B$6*$B$20^2*$B$22)^2)</f>
        <v>-1.0428994758996066</v>
      </c>
      <c r="U3" s="55">
        <f>-$B$3 - $B$12*$D$18</f>
        <v>-1.0123370055013616</v>
      </c>
      <c r="V3" s="78">
        <f>-$B$3*($B$6*$B$20^2)/((1+$B$6*$B$20^2*$B$22)^2)</f>
        <v>-0.24893683054911175</v>
      </c>
    </row>
    <row r="4" spans="1:22">
      <c r="A4" s="2" t="s">
        <v>4</v>
      </c>
      <c r="B4" s="41">
        <v>0.09</v>
      </c>
      <c r="E4" s="43" t="s">
        <v>20</v>
      </c>
      <c r="F4" s="45">
        <v>0.5</v>
      </c>
      <c r="H4" s="83">
        <f>-B4*B22</f>
        <v>-8.9999999999999983E-2</v>
      </c>
      <c r="I4" s="84">
        <f>B4</f>
        <v>0.09</v>
      </c>
      <c r="J4" s="85">
        <f>-B4*B20</f>
        <v>-4.2965434861483763E-2</v>
      </c>
      <c r="L4" s="72">
        <f>-B4*B22</f>
        <v>-8.9999999999999983E-2</v>
      </c>
      <c r="M4" s="70">
        <f>B4</f>
        <v>0.09</v>
      </c>
      <c r="N4" s="71">
        <f>-B4*B20 - B13*B18</f>
        <v>-4.3404083945976626E-2</v>
      </c>
      <c r="P4" s="57">
        <f>-$B$4*$B$22</f>
        <v>-8.9999999999999983E-2</v>
      </c>
      <c r="Q4" s="55">
        <f>$B$4</f>
        <v>0.09</v>
      </c>
      <c r="R4" s="56">
        <f>-$B$4*$B$20 - $B$13*$C$18</f>
        <v>-4.3075097132606981E-2</v>
      </c>
      <c r="T4" s="54">
        <f>-$B$4*$B$22</f>
        <v>-8.9999999999999983E-2</v>
      </c>
      <c r="U4" s="77">
        <f>$B$4</f>
        <v>0.09</v>
      </c>
      <c r="V4" s="78">
        <f>-$B$4*$B$20 - $B$13*$D$18</f>
        <v>-4.3212174971510996E-2</v>
      </c>
    </row>
    <row r="5" spans="1:22">
      <c r="A5" s="2" t="s">
        <v>5</v>
      </c>
      <c r="B5">
        <v>5</v>
      </c>
      <c r="D5">
        <v>6</v>
      </c>
      <c r="E5" s="34" t="s">
        <v>21</v>
      </c>
      <c r="F5" s="35">
        <v>0.5</v>
      </c>
      <c r="H5" s="34" t="s">
        <v>47</v>
      </c>
      <c r="I5" s="46">
        <v>2.0429654348614839</v>
      </c>
      <c r="J5" s="35"/>
      <c r="L5" s="61" t="s">
        <v>47</v>
      </c>
      <c r="M5" s="62">
        <f>-(L2 + M3 + N4)</f>
        <v>2.0872689923952628</v>
      </c>
      <c r="N5" s="73"/>
      <c r="P5" s="61" t="s">
        <v>47</v>
      </c>
      <c r="Q5" s="46">
        <f>-(P2 + Q3 + R4)</f>
        <v>2.0540413242449285</v>
      </c>
      <c r="R5" s="35"/>
      <c r="T5" s="61" t="s">
        <v>47</v>
      </c>
      <c r="U5" s="46">
        <f>-(T2 + U3 + V4)</f>
        <v>2.0678861859742343</v>
      </c>
      <c r="V5" s="35"/>
    </row>
    <row r="6" spans="1:22">
      <c r="A6" s="2" t="s">
        <v>6</v>
      </c>
      <c r="B6">
        <v>5</v>
      </c>
      <c r="E6" s="47" t="s">
        <v>22</v>
      </c>
      <c r="F6" s="49">
        <v>0.5</v>
      </c>
      <c r="H6" s="50" t="s">
        <v>49</v>
      </c>
      <c r="I6" s="58">
        <v>6.2761302502196858E-2</v>
      </c>
      <c r="J6" s="32"/>
      <c r="L6" s="59" t="s">
        <v>49</v>
      </c>
      <c r="M6" s="62">
        <f>(M3*N4 - N3*M4) + (L2*N4 - N2*L4) + (L2*M3 - M2*L3)</f>
        <v>0.10988845783740012</v>
      </c>
      <c r="N6" s="73"/>
      <c r="P6" s="34" t="s">
        <v>49</v>
      </c>
      <c r="Q6" s="46">
        <f>(Q3*R4 - R3*Q4) + (P2*R4 - R2*P4) + (P2*Q3 - Q2*P3)</f>
        <v>7.4449289989076101E-2</v>
      </c>
      <c r="R6" s="35"/>
      <c r="T6" s="59" t="s">
        <v>49</v>
      </c>
      <c r="U6" s="46">
        <f>(U3*V4 - V3*U4) + (T2*V4 - V2*T4) + (T2*U3 - U2*T3)</f>
        <v>8.9147213110413875E-2</v>
      </c>
      <c r="V6" s="35"/>
    </row>
    <row r="7" spans="1:22">
      <c r="A7" s="2" t="s">
        <v>7</v>
      </c>
      <c r="B7" s="4">
        <v>0.01</v>
      </c>
      <c r="G7" s="11"/>
      <c r="H7" s="88" t="s">
        <v>48</v>
      </c>
      <c r="I7" s="89">
        <v>0.12793975633285803</v>
      </c>
      <c r="J7" s="32"/>
      <c r="L7" s="63" t="s">
        <v>48</v>
      </c>
      <c r="M7" s="64">
        <f>-(L2*(M3*N4 - N3*M4) - M2*(L3*N4 - N3*L4) + N2*(L3*M4 - M3*L4))</f>
        <v>0.13124008820470284</v>
      </c>
      <c r="N7" s="73"/>
      <c r="P7" s="61" t="s">
        <v>48</v>
      </c>
      <c r="Q7" s="76">
        <f>-(P2*(Q3*R4 - R3*Q4) - Q2*(P3*R4 - R3*P4) + R2*(P3*Q4 - Q3*P4))</f>
        <v>0.12875730689516385</v>
      </c>
      <c r="R7" s="35"/>
      <c r="T7" s="63" t="s">
        <v>48</v>
      </c>
      <c r="U7" s="76">
        <f>-(T2*(U3*V4 - V3*U4) - U2*(T3*V4 - V3*T4) + V2*(T3*U4 - U3*T4))</f>
        <v>0.12978629050119631</v>
      </c>
      <c r="V7" s="35"/>
    </row>
    <row r="8" spans="1:22">
      <c r="A8" s="2" t="s">
        <v>8</v>
      </c>
      <c r="B8" s="4">
        <v>0.01</v>
      </c>
      <c r="G8" s="11"/>
      <c r="H8" s="47" t="s">
        <v>23</v>
      </c>
      <c r="I8" s="100" t="s">
        <v>57</v>
      </c>
      <c r="J8" s="87"/>
      <c r="L8" s="60" t="s">
        <v>23</v>
      </c>
      <c r="M8" s="65" t="str">
        <f>IF(AND(M5&gt;0, M7&gt;0, (M5*M6)&gt;M7), "УСТОЙЧИВАЯ", "НЕУСТОЙЧИВАЯ")</f>
        <v>УСТОЙЧИВАЯ</v>
      </c>
      <c r="N8" s="74"/>
      <c r="P8" s="47" t="s">
        <v>23</v>
      </c>
      <c r="Q8" s="48" t="str">
        <f>IF(AND(Q5&gt;0, Q7&gt;0, (Q5*Q6)&gt;Q7), "УСТОЙЧИВАЯ", "НЕУСТОЙЧИВАЯ")</f>
        <v>УСТОЙЧИВАЯ</v>
      </c>
      <c r="R8" s="49"/>
      <c r="T8" s="47" t="s">
        <v>23</v>
      </c>
      <c r="U8" s="48" t="str">
        <f>IF(AND(U5&gt;0, U7&gt;0, (U5*U6)&gt;U7), "УСТОЙЧИВАЯ", "НЕУСТОЙЧИВАЯ")</f>
        <v>УСТОЙЧИВАЯ</v>
      </c>
      <c r="V8" s="49"/>
    </row>
    <row r="9" spans="1:22">
      <c r="A9" s="14"/>
      <c r="B9" s="4"/>
      <c r="J9" s="11"/>
      <c r="L9" s="75"/>
      <c r="M9" s="75"/>
      <c r="N9" s="75"/>
    </row>
    <row r="10" spans="1:22" ht="15.6">
      <c r="B10" s="4"/>
      <c r="H10" s="27" t="s">
        <v>40</v>
      </c>
      <c r="I10" s="28"/>
      <c r="J10" s="11"/>
      <c r="K10" s="20" t="s">
        <v>7</v>
      </c>
      <c r="L10" s="20" t="s">
        <v>8</v>
      </c>
      <c r="M10" s="21" t="s">
        <v>33</v>
      </c>
      <c r="N10" s="22" t="s">
        <v>12</v>
      </c>
      <c r="O10" s="22" t="s">
        <v>13</v>
      </c>
      <c r="P10" s="22" t="s">
        <v>14</v>
      </c>
      <c r="Q10" s="22" t="s">
        <v>19</v>
      </c>
    </row>
    <row r="11" spans="1:22">
      <c r="A11" s="2" t="s">
        <v>9</v>
      </c>
      <c r="B11" s="15">
        <v>0.5</v>
      </c>
      <c r="H11" s="29" t="s">
        <v>12</v>
      </c>
      <c r="I11" s="30">
        <v>0.8</v>
      </c>
      <c r="J11" s="11"/>
      <c r="K11" s="19">
        <v>0</v>
      </c>
      <c r="L11" s="19">
        <v>0</v>
      </c>
      <c r="M11" s="18">
        <f>(4*O11*(B2*N11-K11)^2*(O11*B3-L11)^2*N11*P11*B5*B6)/(B2*B3*P11)</f>
        <v>1.1129695844875331</v>
      </c>
      <c r="N11" s="19">
        <v>0.47251313180147947</v>
      </c>
      <c r="O11" s="19">
        <v>0.47251313180147947</v>
      </c>
      <c r="P11" s="19">
        <v>1</v>
      </c>
      <c r="Q11" t="s">
        <v>38</v>
      </c>
    </row>
    <row r="12" spans="1:22">
      <c r="A12" s="2" t="s">
        <v>10</v>
      </c>
      <c r="B12" s="15">
        <v>0.5</v>
      </c>
      <c r="H12" s="29" t="s">
        <v>13</v>
      </c>
      <c r="I12" s="30">
        <f>I11*I13</f>
        <v>0.72000000000000008</v>
      </c>
      <c r="J12" s="11"/>
      <c r="K12" s="19">
        <v>0.01</v>
      </c>
      <c r="L12" s="19">
        <v>0.01</v>
      </c>
      <c r="M12" s="18">
        <f>(4*O12*(B2*N12-K12)^2*(O12*B3-L12)^2*N12*P12*B5*B6)/(B2*B3*P12)</f>
        <v>1.0876393168316743</v>
      </c>
      <c r="N12" s="19">
        <v>0.47739372068315294</v>
      </c>
      <c r="O12" s="19">
        <v>0.47739372068315289</v>
      </c>
      <c r="P12" s="19">
        <v>0.99999999999999989</v>
      </c>
      <c r="Q12" t="s">
        <v>59</v>
      </c>
    </row>
    <row r="13" spans="1:22">
      <c r="A13" s="2" t="s">
        <v>11</v>
      </c>
      <c r="B13" s="4">
        <v>0.01</v>
      </c>
      <c r="E13" s="12" t="s">
        <v>45</v>
      </c>
      <c r="F13" s="90" t="s">
        <v>95</v>
      </c>
      <c r="H13" s="29" t="s">
        <v>14</v>
      </c>
      <c r="I13" s="30">
        <v>0.9</v>
      </c>
      <c r="J13" s="11"/>
      <c r="K13" s="19">
        <v>0.1</v>
      </c>
      <c r="L13" s="19">
        <v>0.1</v>
      </c>
      <c r="M13" s="18">
        <f>(4*O13*(B2*N13-K13)^2*(O13*B3-L13)^2*N13*P13*B5*B6)/(B2*B3*P13)</f>
        <v>0.87188003751664267</v>
      </c>
      <c r="N13" s="19">
        <v>0.52266928828829207</v>
      </c>
      <c r="O13" s="19">
        <v>0.52266928828816728</v>
      </c>
      <c r="P13" s="19">
        <v>0.99999999999966127</v>
      </c>
      <c r="Q13" t="s">
        <v>75</v>
      </c>
    </row>
    <row r="14" spans="1:22">
      <c r="A14" s="14"/>
      <c r="B14" s="15"/>
      <c r="C14" s="11"/>
      <c r="D14" s="11"/>
      <c r="H14" s="31"/>
      <c r="I14" s="32"/>
      <c r="J14" s="11"/>
      <c r="K14" s="19">
        <v>0.3</v>
      </c>
      <c r="L14" s="19">
        <v>0.3</v>
      </c>
      <c r="M14" s="18">
        <f>(4*O14*(B2*N14-K14)^2*(O14*B3-L14)^2*N14*P14*B5*B6)/(B2*B3*P14)</f>
        <v>0.49248681123578969</v>
      </c>
      <c r="N14" s="19">
        <v>0.63297120289906283</v>
      </c>
      <c r="O14" s="19">
        <v>0.63297120289906295</v>
      </c>
      <c r="P14" s="19">
        <v>1</v>
      </c>
      <c r="Q14" t="s">
        <v>76</v>
      </c>
    </row>
    <row r="15" spans="1:22" ht="15.6" customHeight="1">
      <c r="A15" s="2" t="s">
        <v>16</v>
      </c>
      <c r="B15">
        <v>60</v>
      </c>
      <c r="C15" s="11"/>
      <c r="D15" s="11"/>
      <c r="H15" s="33" t="s">
        <v>7</v>
      </c>
      <c r="I15" s="32">
        <f>B2*I11-(B2*I13)/(1+B5*I12^2)</f>
        <v>0.54944320712694883</v>
      </c>
      <c r="J15" s="11"/>
      <c r="K15" s="19">
        <v>0.04</v>
      </c>
      <c r="L15" s="19">
        <v>0.04</v>
      </c>
      <c r="M15" s="18">
        <f>(4*O15*(B2*N15-K15)^2*(O15*B3-L15)^2*N15*P15*B5*B6)/(B2*B3*P15)</f>
        <v>1.0131328625526625</v>
      </c>
      <c r="N15" s="19">
        <v>0.492210872111362</v>
      </c>
      <c r="O15" s="19">
        <v>0.49221087211026171</v>
      </c>
      <c r="P15" s="19">
        <v>0.99999999999876577</v>
      </c>
      <c r="Q15" t="s">
        <v>77</v>
      </c>
    </row>
    <row r="16" spans="1:22">
      <c r="A16" s="2" t="s">
        <v>17</v>
      </c>
      <c r="B16">
        <v>10</v>
      </c>
      <c r="C16" s="11"/>
      <c r="D16" s="11"/>
      <c r="H16" s="33" t="s">
        <v>8</v>
      </c>
      <c r="I16" s="32">
        <f>B3*I12-(B3)/(1+B6*I11^2*I13)</f>
        <v>0.46226804123711351</v>
      </c>
      <c r="J16" s="13"/>
      <c r="K16" s="19">
        <v>0.05</v>
      </c>
      <c r="L16" s="19">
        <v>0.05</v>
      </c>
      <c r="M16" s="18">
        <f>(4*O16*(B2*N16-K16)^2*(O16*B3-L16)^2*N16*P16*B5*B6)/(B2*B3*P16)</f>
        <v>0.98883552274634046</v>
      </c>
      <c r="N16" s="19">
        <v>0.49720970263747061</v>
      </c>
      <c r="O16" s="19">
        <v>0.49720970263667658</v>
      </c>
      <c r="P16" s="19">
        <v>0.9999999999990673</v>
      </c>
      <c r="Q16" t="s">
        <v>74</v>
      </c>
    </row>
    <row r="17" spans="1:17">
      <c r="A17" s="2" t="s">
        <v>24</v>
      </c>
      <c r="B17" s="9">
        <v>4</v>
      </c>
      <c r="C17" s="10">
        <v>2</v>
      </c>
      <c r="D17" s="10">
        <v>3</v>
      </c>
      <c r="H17" s="34"/>
      <c r="I17" s="32"/>
      <c r="J17" s="11"/>
      <c r="K17" s="19">
        <v>0.06</v>
      </c>
      <c r="L17" s="19">
        <v>0.06</v>
      </c>
      <c r="M17" s="18">
        <f>(4*O17*(B2*N17-K17)^2*(O17*B3-L17)^2*N17*P17*B5*B6)/(B2*B3*P17)</f>
        <v>0.96482689801791077</v>
      </c>
      <c r="N17" s="19">
        <v>0.50223906679752506</v>
      </c>
      <c r="O17" s="19">
        <v>0.50223906679696373</v>
      </c>
      <c r="P17" s="19">
        <v>0.99999999999929334</v>
      </c>
      <c r="Q17" t="s">
        <v>78</v>
      </c>
    </row>
    <row r="18" spans="1:17">
      <c r="A18" s="7" t="s">
        <v>25</v>
      </c>
      <c r="B18" s="6">
        <f>(B17*PI()/$B$15)^2</f>
        <v>4.3864908449286033E-2</v>
      </c>
      <c r="C18" s="8">
        <f>(C17*PI()/$B$15)^2</f>
        <v>1.0966227112321508E-2</v>
      </c>
      <c r="D18" s="8">
        <f>(D17*PI()/$B$15)^2</f>
        <v>2.4674011002723394E-2</v>
      </c>
      <c r="H18" s="33" t="s">
        <v>5</v>
      </c>
      <c r="I18" s="32">
        <f>(((B2*I13)/(B2*I11-B7))-1)/I12^2</f>
        <v>0.2685966557274575</v>
      </c>
      <c r="J18" s="11"/>
      <c r="K18" s="19">
        <v>7.0000000000000007E-2</v>
      </c>
      <c r="L18" s="19">
        <v>7.0000000000000007E-2</v>
      </c>
      <c r="M18" s="18">
        <f>(4*O18*(B2*N18-K18)^2*(O18*B3-L18)^2*N18*P18*B5*B6)/(B2*B3*P18)</f>
        <v>0.94111758463950734</v>
      </c>
      <c r="N18" s="19">
        <v>0.5072993410737292</v>
      </c>
      <c r="O18" s="19">
        <v>0.50729934107334018</v>
      </c>
      <c r="P18" s="19">
        <v>0.99999999999945643</v>
      </c>
      <c r="Q18" t="s">
        <v>79</v>
      </c>
    </row>
    <row r="19" spans="1:17">
      <c r="A19" t="s">
        <v>18</v>
      </c>
      <c r="H19" s="33" t="s">
        <v>6</v>
      </c>
      <c r="I19" s="32">
        <f>((B3)/(B3*I12-B8)-1)/I11^2*I13</f>
        <v>0.57438380281690116</v>
      </c>
      <c r="J19" s="11"/>
      <c r="K19" s="19">
        <v>0.08</v>
      </c>
      <c r="L19" s="19">
        <v>0.08</v>
      </c>
      <c r="M19" s="18">
        <f>(4*O19*(B2*N19-K19)^2*(O19*B3-L19)^2*N19*P19*B5*B6)/(B2*B3*P19)</f>
        <v>0.91771740942135249</v>
      </c>
      <c r="N19" s="19">
        <v>0.51239089527262527</v>
      </c>
      <c r="O19" s="19">
        <v>0.51239089527235959</v>
      </c>
      <c r="P19" s="19">
        <v>0.99999999999956646</v>
      </c>
      <c r="Q19" t="s">
        <v>80</v>
      </c>
    </row>
    <row r="20" spans="1:17">
      <c r="A20" s="18" t="s">
        <v>12</v>
      </c>
      <c r="B20" s="18">
        <v>0.47739372068315294</v>
      </c>
      <c r="H20" s="34"/>
      <c r="I20" s="35"/>
      <c r="J20" s="11"/>
      <c r="K20" s="19">
        <v>0.09</v>
      </c>
      <c r="L20" s="19">
        <v>0.09</v>
      </c>
      <c r="M20" s="18">
        <f>(4*O20*(B2*N20-K20)^2*(O20*B3-L20)^2*N20*P20*B5*B6)/(B2*B3*P20)</f>
        <v>0.89463544700015918</v>
      </c>
      <c r="N20" s="19">
        <v>0.51751409235964785</v>
      </c>
      <c r="O20" s="19">
        <v>0.5175140923594671</v>
      </c>
      <c r="P20" s="19">
        <v>0.99999999999963218</v>
      </c>
      <c r="Q20" t="s">
        <v>81</v>
      </c>
    </row>
    <row r="21" spans="1:17" ht="15.6">
      <c r="A21" s="18" t="s">
        <v>13</v>
      </c>
      <c r="B21" s="18">
        <v>0.47739372068315289</v>
      </c>
      <c r="E21" s="17"/>
      <c r="F21" s="17">
        <f>(B2*B3*B4*B20)+(F23*F25*B4*B22)+(B4*F26*F24)+(F26*B4*B22*B3)+(B4*F25*B2)-(F23*F24*B4*B20)</f>
        <v>0.12793975633285803</v>
      </c>
      <c r="H21" s="38" t="s">
        <v>36</v>
      </c>
      <c r="I21" s="39">
        <f>(4*I12*(B2*I11-I15)^2*(I12*B3-I16)^2*I11*I13*B5*B6)/(B2*B3*I13)</f>
        <v>0.2401991106784831</v>
      </c>
      <c r="K21" s="19">
        <v>1</v>
      </c>
      <c r="L21" s="19">
        <v>1</v>
      </c>
      <c r="M21" s="18">
        <f>(4*O21*(B2*N21-K21)^2*(O21*B3-L21)^2*N21*P21*B5*B6)/(B2*B3*P21)</f>
        <v>4.2110851433868189E-2</v>
      </c>
      <c r="N21" s="19">
        <v>1.134492390232233</v>
      </c>
      <c r="O21" s="19">
        <v>1.1344923902322332</v>
      </c>
      <c r="P21" s="19">
        <v>1</v>
      </c>
      <c r="Q21" t="s">
        <v>71</v>
      </c>
    </row>
    <row r="22" spans="1:17" ht="15.6">
      <c r="A22" s="18" t="s">
        <v>14</v>
      </c>
      <c r="B22" s="18">
        <v>0.99999999999999989</v>
      </c>
      <c r="H22" s="36" t="s">
        <v>34</v>
      </c>
      <c r="I22" s="37">
        <f>B2*B3-I21</f>
        <v>0.7598008893215169</v>
      </c>
    </row>
    <row r="23" spans="1:17" ht="15.6">
      <c r="E23" s="16" t="s">
        <v>29</v>
      </c>
      <c r="F23" s="17">
        <f xml:space="preserve"> (2 * B2 * B5 * B21*B22) / ((1 + B5 * B21^2) ^ 2)</f>
        <v>1.0428994758996069</v>
      </c>
    </row>
    <row r="24" spans="1:17" ht="15.6">
      <c r="A24" t="s">
        <v>19</v>
      </c>
      <c r="B24" s="5" t="s">
        <v>59</v>
      </c>
      <c r="E24" s="16" t="s">
        <v>30</v>
      </c>
      <c r="F24" s="17">
        <f xml:space="preserve"> (2 * B3 * B6 * B20 * B22) / (1 + B6 * B20^2 * B22) ^ 2</f>
        <v>1.0428994758996066</v>
      </c>
      <c r="H24" s="26" t="s">
        <v>33</v>
      </c>
      <c r="I24" s="25">
        <f>F23*F24</f>
        <v>1.0876393168316745</v>
      </c>
      <c r="J24" s="11"/>
      <c r="K24" s="20" t="s">
        <v>5</v>
      </c>
      <c r="L24" s="20" t="s">
        <v>6</v>
      </c>
      <c r="M24" s="23" t="s">
        <v>33</v>
      </c>
      <c r="N24" s="22" t="s">
        <v>12</v>
      </c>
      <c r="O24" s="22" t="s">
        <v>13</v>
      </c>
      <c r="P24" s="22" t="s">
        <v>14</v>
      </c>
      <c r="Q24" s="22" t="s">
        <v>19</v>
      </c>
    </row>
    <row r="25" spans="1:17" ht="15.6">
      <c r="B25" s="5"/>
      <c r="E25" s="16" t="s">
        <v>31</v>
      </c>
      <c r="F25" s="17">
        <f xml:space="preserve"> (B3 * B6 * B20^2) / (1 + B6 * B20^2 * B22) ^ 2</f>
        <v>0.24893683054911175</v>
      </c>
      <c r="H25" s="24" t="s">
        <v>34</v>
      </c>
      <c r="I25" s="25">
        <f>B2*B3-F23*F24</f>
        <v>-8.7639316831674474E-2</v>
      </c>
      <c r="K25" s="19">
        <v>0</v>
      </c>
      <c r="L25" s="19">
        <v>0</v>
      </c>
      <c r="M25" s="18">
        <v>0</v>
      </c>
      <c r="N25" s="19">
        <v>1.0100000000000013</v>
      </c>
      <c r="O25" s="19">
        <v>1.01</v>
      </c>
      <c r="P25" s="19">
        <v>1.0000000000000013</v>
      </c>
      <c r="Q25" t="s">
        <v>61</v>
      </c>
    </row>
    <row r="26" spans="1:17" ht="15.6">
      <c r="E26" s="16" t="s">
        <v>32</v>
      </c>
      <c r="F26" s="17">
        <f>B2/(1+B5*B21^2)</f>
        <v>0.46739372068315299</v>
      </c>
      <c r="H26" s="25" t="s">
        <v>35</v>
      </c>
      <c r="I26" s="25">
        <f>B2*B3</f>
        <v>1</v>
      </c>
      <c r="K26" s="19">
        <v>0.5</v>
      </c>
      <c r="L26" s="19">
        <v>0.5</v>
      </c>
      <c r="M26" s="18">
        <v>0.21020401715996048</v>
      </c>
      <c r="N26" s="19">
        <v>0.77777416721833026</v>
      </c>
      <c r="O26" s="19">
        <v>0.77777416721833026</v>
      </c>
      <c r="P26" s="19">
        <v>1</v>
      </c>
      <c r="Q26" t="s">
        <v>62</v>
      </c>
    </row>
    <row r="27" spans="1:17">
      <c r="K27" s="19">
        <v>1</v>
      </c>
      <c r="L27" s="19">
        <v>1</v>
      </c>
      <c r="M27" s="18">
        <v>0.4016609104097118</v>
      </c>
      <c r="N27" s="19">
        <v>0.68844565201818941</v>
      </c>
      <c r="O27" s="19">
        <v>0.68844565201913221</v>
      </c>
      <c r="P27" s="19">
        <v>0.99999999999933575</v>
      </c>
      <c r="Q27" t="s">
        <v>63</v>
      </c>
    </row>
    <row r="28" spans="1:17">
      <c r="K28" s="19">
        <v>1.5</v>
      </c>
      <c r="L28" s="19">
        <v>1.5</v>
      </c>
      <c r="M28" s="18">
        <v>0.5480442808177316</v>
      </c>
      <c r="N28" s="19">
        <v>0.63391725682172673</v>
      </c>
      <c r="O28" s="19">
        <v>0.63391725682173838</v>
      </c>
      <c r="P28" s="19">
        <v>0.99999999999994005</v>
      </c>
      <c r="Q28" t="s">
        <v>64</v>
      </c>
    </row>
    <row r="29" spans="1:17">
      <c r="K29" s="19">
        <v>2</v>
      </c>
      <c r="L29" s="19">
        <v>2</v>
      </c>
      <c r="M29" s="18">
        <v>0.66512997054331235</v>
      </c>
      <c r="N29" s="19">
        <v>0.59525497739574929</v>
      </c>
      <c r="O29" s="19">
        <v>0.5952549773957746</v>
      </c>
      <c r="P29" s="19">
        <v>0.99999999999983691</v>
      </c>
      <c r="Q29" t="s">
        <v>65</v>
      </c>
    </row>
    <row r="30" spans="1:17">
      <c r="A30" s="43" t="s">
        <v>70</v>
      </c>
      <c r="B30" s="44"/>
      <c r="C30" s="44"/>
      <c r="D30" s="44"/>
      <c r="E30" s="45"/>
      <c r="K30" s="19">
        <v>2.5</v>
      </c>
      <c r="L30" s="19">
        <v>2.5</v>
      </c>
      <c r="M30" s="18">
        <v>0.76222425517168735</v>
      </c>
      <c r="N30" s="19">
        <v>0.5656160877916756</v>
      </c>
      <c r="O30" s="19">
        <v>0.5656160877916846</v>
      </c>
      <c r="P30" s="19">
        <v>0.99999999999995637</v>
      </c>
      <c r="Q30" t="s">
        <v>66</v>
      </c>
    </row>
    <row r="31" spans="1:17">
      <c r="A31" s="34">
        <v>-1.0123370055013616</v>
      </c>
      <c r="B31" s="46">
        <v>-1.0041046379547711</v>
      </c>
      <c r="C31" s="46">
        <v>0.38471516059497179</v>
      </c>
      <c r="D31" s="46"/>
      <c r="E31" s="35"/>
      <c r="H31" s="11"/>
      <c r="K31" s="19">
        <v>3</v>
      </c>
      <c r="L31" s="19">
        <v>3</v>
      </c>
      <c r="M31" s="18">
        <v>0.84489903373796715</v>
      </c>
      <c r="N31" s="19">
        <v>0.5417652928636445</v>
      </c>
      <c r="O31" s="19">
        <v>0.5417652928636435</v>
      </c>
      <c r="P31" s="19">
        <v>0.99999999999998557</v>
      </c>
      <c r="Q31" t="s">
        <v>67</v>
      </c>
    </row>
    <row r="32" spans="1:17">
      <c r="A32" s="34">
        <v>-1.0388463083437849</v>
      </c>
      <c r="B32" s="46">
        <v>-1.0123370055013616</v>
      </c>
      <c r="C32" s="46">
        <v>-0.20416012660738045</v>
      </c>
      <c r="D32" s="46"/>
      <c r="E32" s="35"/>
      <c r="H32" s="11"/>
      <c r="K32" s="19">
        <v>3.5</v>
      </c>
      <c r="L32" s="19">
        <v>3.5</v>
      </c>
      <c r="M32" s="18">
        <v>0.91670934733856924</v>
      </c>
      <c r="N32" s="19">
        <v>0.52192381843237801</v>
      </c>
      <c r="O32" s="19">
        <v>0.52192381843235391</v>
      </c>
      <c r="P32" s="19">
        <v>0.99999999999996703</v>
      </c>
      <c r="Q32" t="s">
        <v>68</v>
      </c>
    </row>
    <row r="33" spans="1:17">
      <c r="A33" s="34">
        <v>-0.11995460268578489</v>
      </c>
      <c r="B33" s="46">
        <v>0.1</v>
      </c>
      <c r="C33" s="46">
        <v>-7.2272855560288605</v>
      </c>
      <c r="D33" s="46"/>
      <c r="E33" s="35"/>
      <c r="H33" s="11"/>
      <c r="K33" s="19">
        <v>4</v>
      </c>
      <c r="L33" s="19">
        <v>4</v>
      </c>
      <c r="M33" s="18">
        <v>0.98005222412380477</v>
      </c>
      <c r="N33" s="19">
        <v>0.50501256226527669</v>
      </c>
      <c r="O33" s="19">
        <v>0.50501256226511404</v>
      </c>
      <c r="P33" s="19">
        <v>0.99999999999982514</v>
      </c>
      <c r="Q33" t="s">
        <v>60</v>
      </c>
    </row>
    <row r="34" spans="1:17">
      <c r="A34" s="34"/>
      <c r="B34" s="46"/>
      <c r="C34" s="46"/>
      <c r="D34" s="46"/>
      <c r="E34" s="35"/>
      <c r="H34" s="11"/>
      <c r="K34" s="19">
        <v>4.5</v>
      </c>
      <c r="L34" s="19">
        <v>4.5</v>
      </c>
      <c r="M34" s="18">
        <v>1.0366173665897771</v>
      </c>
      <c r="N34" s="19">
        <v>0.49032956965437607</v>
      </c>
      <c r="O34" s="19">
        <v>0.49032956965362073</v>
      </c>
      <c r="P34" s="19">
        <v>0.99999999999920752</v>
      </c>
      <c r="Q34" t="s">
        <v>69</v>
      </c>
    </row>
    <row r="35" spans="1:17">
      <c r="A35" s="34" t="s">
        <v>50</v>
      </c>
      <c r="B35" s="46"/>
      <c r="C35" s="46"/>
      <c r="D35" s="46"/>
      <c r="E35" s="35"/>
      <c r="H35" s="11"/>
      <c r="K35" s="19">
        <v>5</v>
      </c>
      <c r="L35" s="19">
        <v>5</v>
      </c>
      <c r="M35" s="18">
        <v>1.0876393168316747</v>
      </c>
      <c r="N35" s="19">
        <v>0.47739372068315294</v>
      </c>
      <c r="O35" s="19">
        <v>0.47739372068315294</v>
      </c>
      <c r="P35" s="19">
        <v>1</v>
      </c>
      <c r="Q35" t="s">
        <v>58</v>
      </c>
    </row>
    <row r="36" spans="1:17">
      <c r="A36" s="34" t="s">
        <v>51</v>
      </c>
      <c r="B36" s="46">
        <v>9.2519595670315837</v>
      </c>
      <c r="C36" s="46"/>
      <c r="D36" s="46"/>
      <c r="E36" s="35"/>
      <c r="H36" s="11"/>
      <c r="K36" s="19">
        <v>6</v>
      </c>
      <c r="L36" s="19">
        <v>6</v>
      </c>
      <c r="M36" s="18">
        <v>3.8598135620940895E-2</v>
      </c>
      <c r="N36" s="19">
        <v>1.1177076756549604</v>
      </c>
      <c r="O36" s="19">
        <v>1.1177076756549604</v>
      </c>
      <c r="P36" s="19">
        <v>1</v>
      </c>
      <c r="Q36" t="s">
        <v>38</v>
      </c>
    </row>
    <row r="37" spans="1:17">
      <c r="A37" s="34" t="s">
        <v>52</v>
      </c>
      <c r="B37" s="46">
        <v>14.681177418661383</v>
      </c>
      <c r="C37" s="46"/>
      <c r="D37" s="46"/>
      <c r="E37" s="35"/>
      <c r="H37" s="11"/>
      <c r="K37" s="19">
        <v>7</v>
      </c>
      <c r="L37" s="19">
        <v>7</v>
      </c>
      <c r="M37" s="18">
        <v>3.1856843864168073E-2</v>
      </c>
      <c r="N37" s="19">
        <v>1.1047803203264137</v>
      </c>
      <c r="O37" s="19">
        <v>1.1047803203264137</v>
      </c>
      <c r="P37" s="19">
        <v>1</v>
      </c>
      <c r="Q37" t="s">
        <v>38</v>
      </c>
    </row>
    <row r="38" spans="1:17">
      <c r="A38" s="34" t="s">
        <v>53</v>
      </c>
      <c r="B38" s="46">
        <v>-2.0298267086945042E-4</v>
      </c>
      <c r="C38" s="46"/>
      <c r="D38" s="46"/>
      <c r="E38" s="35"/>
      <c r="H38" s="11"/>
      <c r="K38" s="19">
        <v>8</v>
      </c>
      <c r="L38" s="19">
        <v>8</v>
      </c>
      <c r="M38" s="18">
        <v>2.6754580179386062E-2</v>
      </c>
      <c r="N38" s="19">
        <v>1.0944889469171026</v>
      </c>
      <c r="O38" s="19">
        <v>1.0944889469171026</v>
      </c>
      <c r="P38" s="19">
        <v>1</v>
      </c>
      <c r="Q38" t="s">
        <v>37</v>
      </c>
    </row>
    <row r="39" spans="1:17">
      <c r="A39" s="34"/>
      <c r="B39" s="46"/>
      <c r="C39" s="46"/>
      <c r="D39" s="46"/>
      <c r="E39" s="35"/>
      <c r="H39" s="11"/>
      <c r="K39" s="19">
        <v>9</v>
      </c>
      <c r="L39" s="19">
        <v>9</v>
      </c>
      <c r="M39" s="18">
        <v>2.279680934645003E-2</v>
      </c>
      <c r="N39" s="19">
        <v>1.086086294467536</v>
      </c>
      <c r="O39" s="19">
        <v>1.0860862944675362</v>
      </c>
      <c r="P39" s="19">
        <v>1</v>
      </c>
      <c r="Q39" t="s">
        <v>39</v>
      </c>
    </row>
    <row r="40" spans="1:17">
      <c r="A40" s="34" t="s">
        <v>41</v>
      </c>
      <c r="B40" s="46"/>
      <c r="C40" s="46"/>
      <c r="D40" s="46"/>
      <c r="E40" s="35"/>
      <c r="H40" s="11"/>
      <c r="K40" s="19">
        <v>10</v>
      </c>
      <c r="L40" s="19">
        <v>10</v>
      </c>
      <c r="M40" s="18">
        <v>1.9663090083913801E-2</v>
      </c>
      <c r="N40" s="19">
        <v>1.0790870858235801</v>
      </c>
      <c r="O40" s="19">
        <v>1.0790870858235801</v>
      </c>
      <c r="P40" s="19">
        <v>1</v>
      </c>
      <c r="Q40" t="s">
        <v>37</v>
      </c>
    </row>
    <row r="41" spans="1:17">
      <c r="A41" s="34" t="s">
        <v>42</v>
      </c>
      <c r="B41" s="46">
        <v>1.3825928023865298E-5</v>
      </c>
      <c r="C41" s="46"/>
      <c r="D41" s="46"/>
      <c r="E41" s="35"/>
      <c r="H41" s="11"/>
    </row>
    <row r="42" spans="1:17">
      <c r="A42" s="34" t="s">
        <v>43</v>
      </c>
      <c r="B42" s="46">
        <v>-7.2179835290836794</v>
      </c>
      <c r="C42" s="46" t="s">
        <v>54</v>
      </c>
      <c r="D42" s="46"/>
      <c r="E42" s="35"/>
      <c r="K42" s="40" t="s">
        <v>4</v>
      </c>
      <c r="L42" s="42" t="s">
        <v>11</v>
      </c>
      <c r="M42" s="22" t="s">
        <v>12</v>
      </c>
      <c r="N42" s="22" t="s">
        <v>13</v>
      </c>
      <c r="O42" s="22" t="s">
        <v>14</v>
      </c>
      <c r="P42" s="22" t="s">
        <v>19</v>
      </c>
    </row>
    <row r="43" spans="1:17">
      <c r="A43" s="34" t="s">
        <v>44</v>
      </c>
      <c r="B43" s="46">
        <v>-2.0339898638759428</v>
      </c>
      <c r="C43" s="46" t="s">
        <v>55</v>
      </c>
      <c r="D43" s="46"/>
      <c r="E43" s="35"/>
      <c r="K43" s="19">
        <v>0.01</v>
      </c>
      <c r="L43" s="12">
        <v>7.679769117124251</v>
      </c>
      <c r="M43" s="19">
        <v>0.47739372068315294</v>
      </c>
      <c r="N43" s="19">
        <v>0.47739372068315294</v>
      </c>
      <c r="O43" s="19">
        <v>1</v>
      </c>
      <c r="P43" t="s">
        <v>58</v>
      </c>
    </row>
    <row r="44" spans="1:17">
      <c r="A44" s="34"/>
      <c r="B44" s="46"/>
      <c r="C44" s="46"/>
      <c r="D44" s="46"/>
      <c r="E44" s="35"/>
      <c r="K44" s="19">
        <v>0.1</v>
      </c>
      <c r="L44" s="12">
        <v>76.797691171241297</v>
      </c>
      <c r="M44" s="19">
        <v>0.47739372068315294</v>
      </c>
      <c r="N44" s="19">
        <v>0.47739372068315289</v>
      </c>
      <c r="O44" s="19">
        <v>0.99999999999999989</v>
      </c>
      <c r="P44" t="s">
        <v>59</v>
      </c>
    </row>
    <row r="45" spans="1:17">
      <c r="A45" s="47" t="s">
        <v>46</v>
      </c>
      <c r="B45" s="48">
        <v>1.3825928023865298E-5</v>
      </c>
      <c r="C45" s="92" t="s">
        <v>56</v>
      </c>
      <c r="D45" s="48"/>
      <c r="E45" s="49"/>
      <c r="K45" s="19">
        <v>0.2</v>
      </c>
      <c r="L45" s="12">
        <v>153.59538234248259</v>
      </c>
      <c r="M45" s="19">
        <v>0.47739372068315294</v>
      </c>
      <c r="N45" s="19">
        <v>0.47739372068315289</v>
      </c>
      <c r="O45" s="19">
        <v>0.99999999999999989</v>
      </c>
      <c r="P45" t="s">
        <v>59</v>
      </c>
    </row>
    <row r="46" spans="1:17">
      <c r="A46" s="58"/>
      <c r="B46" s="46"/>
      <c r="G46" s="11"/>
      <c r="H46" s="11"/>
      <c r="K46" s="19">
        <v>0.3</v>
      </c>
      <c r="L46" s="12">
        <v>230.39307351372386</v>
      </c>
      <c r="M46" s="19">
        <v>0.47739372068315294</v>
      </c>
      <c r="N46" s="19">
        <v>0.47739372068315289</v>
      </c>
      <c r="O46" s="19">
        <v>0.99999999999999989</v>
      </c>
      <c r="P46" t="s">
        <v>59</v>
      </c>
    </row>
    <row r="47" spans="1:17">
      <c r="A47" s="46"/>
      <c r="B47" s="46"/>
      <c r="G47" s="11"/>
      <c r="H47" s="11"/>
      <c r="K47" s="19">
        <v>0.4</v>
      </c>
      <c r="L47" s="12">
        <v>307.19076468496519</v>
      </c>
      <c r="M47" s="19">
        <v>0.47739372068315294</v>
      </c>
      <c r="N47" s="19">
        <v>0.47739372068315289</v>
      </c>
      <c r="O47" s="19">
        <v>0.99999999999999989</v>
      </c>
      <c r="P47" t="s">
        <v>59</v>
      </c>
    </row>
    <row r="48" spans="1:17">
      <c r="A48" s="46"/>
      <c r="B48" s="46"/>
      <c r="G48" s="11"/>
      <c r="H48" s="11"/>
      <c r="K48" s="19">
        <v>0.5</v>
      </c>
      <c r="L48" s="12">
        <v>383.98845585620649</v>
      </c>
      <c r="M48" s="19">
        <v>0.47739372068315294</v>
      </c>
      <c r="N48" s="19">
        <v>0.47739372068315289</v>
      </c>
      <c r="O48" s="19">
        <v>0.99999999999999989</v>
      </c>
      <c r="P48" t="s">
        <v>59</v>
      </c>
    </row>
    <row r="49" spans="1:16">
      <c r="A49" s="46"/>
      <c r="B49" s="46"/>
      <c r="G49" s="11"/>
      <c r="H49" s="11"/>
      <c r="K49" s="19">
        <v>0.6</v>
      </c>
      <c r="L49" s="12">
        <v>460.78614702744773</v>
      </c>
      <c r="M49" s="19">
        <v>0.47739372068315294</v>
      </c>
      <c r="N49" s="19">
        <v>0.47739372068315289</v>
      </c>
      <c r="O49" s="19">
        <v>0.99999999999999989</v>
      </c>
      <c r="P49" t="s">
        <v>59</v>
      </c>
    </row>
    <row r="50" spans="1:16">
      <c r="A50" s="46"/>
      <c r="B50" s="46"/>
      <c r="G50" s="11"/>
      <c r="H50" s="11"/>
      <c r="K50" s="19">
        <v>0.7</v>
      </c>
      <c r="L50" s="12">
        <v>537.58383819868891</v>
      </c>
      <c r="M50" s="19">
        <v>0.47739372068315294</v>
      </c>
      <c r="N50" s="19">
        <v>0.47739372068315289</v>
      </c>
      <c r="O50" s="19">
        <v>0.99999999999999989</v>
      </c>
      <c r="P50" t="s">
        <v>59</v>
      </c>
    </row>
    <row r="51" spans="1:16">
      <c r="A51" s="46"/>
      <c r="B51" s="46"/>
      <c r="K51" s="19">
        <v>0.8</v>
      </c>
      <c r="L51" s="12">
        <v>614.38152936993038</v>
      </c>
      <c r="M51" s="19">
        <v>0.47739372068315294</v>
      </c>
      <c r="N51" s="19">
        <v>0.47739372068315289</v>
      </c>
      <c r="O51" s="19">
        <v>0.99999999999999989</v>
      </c>
      <c r="P51" t="s">
        <v>59</v>
      </c>
    </row>
    <row r="52" spans="1:16">
      <c r="A52" s="46"/>
      <c r="B52" s="46"/>
      <c r="K52" s="19">
        <v>0.9</v>
      </c>
      <c r="L52" s="12">
        <v>691.17922054117173</v>
      </c>
      <c r="M52" s="19">
        <v>0.47739372068315294</v>
      </c>
      <c r="N52" s="19">
        <v>0.47739372068315289</v>
      </c>
      <c r="O52" s="19">
        <v>0.99999999999999989</v>
      </c>
      <c r="P52" t="s">
        <v>59</v>
      </c>
    </row>
    <row r="53" spans="1:16">
      <c r="K53" s="19">
        <v>1</v>
      </c>
      <c r="L53" s="12">
        <v>767.97691171241297</v>
      </c>
      <c r="M53" s="19">
        <v>0.47739372068315294</v>
      </c>
      <c r="N53" s="19">
        <v>0.47739372068315289</v>
      </c>
      <c r="O53" s="19">
        <v>0.99999999999999989</v>
      </c>
      <c r="P53" t="s">
        <v>59</v>
      </c>
    </row>
    <row r="57" spans="1:16">
      <c r="B57" s="9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indEquilibriumPoint">
                <anchor moveWithCells="1" sizeWithCells="1">
                  <from>
                    <xdr:col>2</xdr:col>
                    <xdr:colOff>601980</xdr:colOff>
                    <xdr:row>4</xdr:row>
                    <xdr:rowOff>30480</xdr:rowOff>
                  </from>
                  <to>
                    <xdr:col>4</xdr:col>
                    <xdr:colOff>7620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unSigmaScan">
                <anchor moveWithCells="1">
                  <from>
                    <xdr:col>9</xdr:col>
                    <xdr:colOff>182880</xdr:colOff>
                    <xdr:row>8</xdr:row>
                    <xdr:rowOff>167640</xdr:rowOff>
                  </from>
                  <to>
                    <xdr:col>9</xdr:col>
                    <xdr:colOff>746760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unKaKbScan">
                <anchor moveWithCells="1">
                  <from>
                    <xdr:col>9</xdr:col>
                    <xdr:colOff>182880</xdr:colOff>
                    <xdr:row>23</xdr:row>
                    <xdr:rowOff>0</xdr:rowOff>
                  </from>
                  <to>
                    <xdr:col>9</xdr:col>
                    <xdr:colOff>746760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RunPcScan">
                <anchor moveWithCells="1">
                  <from>
                    <xdr:col>9</xdr:col>
                    <xdr:colOff>167640</xdr:colOff>
                    <xdr:row>40</xdr:row>
                    <xdr:rowOff>175260</xdr:rowOff>
                  </from>
                  <to>
                    <xdr:col>9</xdr:col>
                    <xdr:colOff>731520</xdr:colOff>
                    <xdr:row>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CalculateDc">
                <anchor moveWithCells="1">
                  <from>
                    <xdr:col>3</xdr:col>
                    <xdr:colOff>30480</xdr:colOff>
                    <xdr:row>6</xdr:row>
                    <xdr:rowOff>137160</xdr:rowOff>
                  </from>
                  <to>
                    <xdr:col>3</xdr:col>
                    <xdr:colOff>594360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alculateEigenvalues">
                <anchor moveWithCells="1">
                  <from>
                    <xdr:col>4</xdr:col>
                    <xdr:colOff>99060</xdr:colOff>
                    <xdr:row>30</xdr:row>
                    <xdr:rowOff>68580</xdr:rowOff>
                  </from>
                  <to>
                    <xdr:col>4</xdr:col>
                    <xdr:colOff>754380</xdr:colOff>
                    <xdr:row>31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параметры</vt:lpstr>
      <vt:lpstr>диплом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Professional</dc:creator>
  <cp:lastModifiedBy>Professional</cp:lastModifiedBy>
  <dcterms:created xsi:type="dcterms:W3CDTF">2015-06-05T18:19:34Z</dcterms:created>
  <dcterms:modified xsi:type="dcterms:W3CDTF">2026-06-12T22:04:29Z</dcterms:modified>
</cp:coreProperties>
</file>