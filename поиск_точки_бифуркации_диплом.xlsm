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Professional\Desktop\"/>
    </mc:Choice>
  </mc:AlternateContent>
  <xr:revisionPtr revIDLastSave="0" documentId="13_ncr:1_{4ED54052-8AF5-40B9-8EEF-C101ECF2B5E6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Лист1" sheetId="1" r:id="rId1"/>
    <sheet name="параметры" sheetId="2" r:id="rId2"/>
    <sheet name="диплом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V18" i="2" l="1"/>
  <c r="R18" i="2"/>
  <c r="F24" i="4"/>
  <c r="F23" i="4"/>
  <c r="M12" i="4"/>
  <c r="I21" i="4"/>
  <c r="M11" i="4"/>
  <c r="N18" i="2"/>
  <c r="F26" i="4"/>
  <c r="F25" i="4"/>
  <c r="J18" i="2"/>
  <c r="F17" i="2"/>
  <c r="M14" i="4"/>
  <c r="M21" i="4"/>
  <c r="M20" i="4"/>
  <c r="M19" i="4"/>
  <c r="M18" i="4"/>
  <c r="M17" i="4"/>
  <c r="M16" i="4"/>
  <c r="M15" i="4"/>
  <c r="M13" i="4"/>
  <c r="I12" i="4"/>
  <c r="I26" i="4"/>
  <c r="M2" i="4"/>
  <c r="M4" i="4"/>
  <c r="L4" i="4"/>
  <c r="B18" i="4"/>
  <c r="L2" i="4" s="1"/>
  <c r="C18" i="4"/>
  <c r="R4" i="4" s="1"/>
  <c r="U4" i="4"/>
  <c r="T4" i="4"/>
  <c r="V3" i="4"/>
  <c r="T3" i="4"/>
  <c r="V2" i="4"/>
  <c r="U2" i="4"/>
  <c r="Q4" i="4"/>
  <c r="P4" i="4"/>
  <c r="R3" i="4"/>
  <c r="P3" i="4"/>
  <c r="R2" i="4"/>
  <c r="Q2" i="4"/>
  <c r="D18" i="4"/>
  <c r="V4" i="4" s="1"/>
  <c r="H4" i="4"/>
  <c r="N3" i="4"/>
  <c r="L3" i="4"/>
  <c r="N2" i="4"/>
  <c r="J4" i="4"/>
  <c r="I4" i="4"/>
  <c r="J3" i="4"/>
  <c r="I3" i="4"/>
  <c r="H3" i="4"/>
  <c r="I2" i="4"/>
  <c r="J2" i="4"/>
  <c r="H2" i="4"/>
  <c r="I24" i="4" l="1"/>
  <c r="E12" i="4"/>
  <c r="F21" i="4"/>
  <c r="E11" i="4" s="1"/>
  <c r="I25" i="4"/>
  <c r="I19" i="4"/>
  <c r="I16" i="4"/>
  <c r="N4" i="4"/>
  <c r="M3" i="4"/>
  <c r="I18" i="4"/>
  <c r="I15" i="4"/>
  <c r="T2" i="4"/>
  <c r="Q3" i="4"/>
  <c r="U3" i="4"/>
  <c r="P2" i="4"/>
  <c r="E13" i="4" l="1"/>
  <c r="I22" i="4"/>
  <c r="M5" i="4"/>
  <c r="M7" i="4"/>
  <c r="U5" i="4"/>
  <c r="Q7" i="4"/>
  <c r="U7" i="4"/>
  <c r="Q5" i="4"/>
  <c r="M6" i="4"/>
  <c r="U6" i="4"/>
  <c r="Q6" i="4"/>
  <c r="I7" i="4" l="1"/>
  <c r="M8" i="4"/>
  <c r="U8" i="4"/>
  <c r="Q8" i="4"/>
</calcChain>
</file>

<file path=xl/sharedStrings.xml><?xml version="1.0" encoding="utf-8"?>
<sst xmlns="http://schemas.openxmlformats.org/spreadsheetml/2006/main" count="219" uniqueCount="67">
  <si>
    <t>ρ_a</t>
  </si>
  <si>
    <t>ρ_b</t>
  </si>
  <si>
    <t>параметр</t>
  </si>
  <si>
    <t>значение</t>
  </si>
  <si>
    <t>ρ_c</t>
  </si>
  <si>
    <t>k_a</t>
  </si>
  <si>
    <t>k_b</t>
  </si>
  <si>
    <t>σ_a</t>
  </si>
  <si>
    <t>σ_b</t>
  </si>
  <si>
    <t>D_a</t>
  </si>
  <si>
    <t>D_b</t>
  </si>
  <si>
    <t>D_c</t>
  </si>
  <si>
    <t>a</t>
  </si>
  <si>
    <t>b</t>
  </si>
  <si>
    <t>c</t>
  </si>
  <si>
    <t>матрица без диффузии</t>
  </si>
  <si>
    <t>L</t>
  </si>
  <si>
    <t>T</t>
  </si>
  <si>
    <t>ТОЧКА РАВНОВЕСИЯ</t>
  </si>
  <si>
    <t>статус</t>
  </si>
  <si>
    <t>начальное a</t>
  </si>
  <si>
    <t>начальное b</t>
  </si>
  <si>
    <t>начальное c</t>
  </si>
  <si>
    <t>След tr(J):</t>
  </si>
  <si>
    <t>Определитель det(J):</t>
  </si>
  <si>
    <t>Устойчивость:</t>
  </si>
  <si>
    <t>Сумма миноров 2-го порядка:</t>
  </si>
  <si>
    <t>УСТОЙЧИВАЯ</t>
  </si>
  <si>
    <t>m</t>
  </si>
  <si>
    <t>q²</t>
  </si>
  <si>
    <t>След tr(J_diff)</t>
  </si>
  <si>
    <t>det(J_diff)</t>
  </si>
  <si>
    <t>матрица с диффузией m=1</t>
  </si>
  <si>
    <t>матрица с диффузией m=2</t>
  </si>
  <si>
    <t>матрица с диффузией m=3</t>
  </si>
  <si>
    <t>α</t>
  </si>
  <si>
    <t>β</t>
  </si>
  <si>
    <t>γ</t>
  </si>
  <si>
    <t>сигма</t>
  </si>
  <si>
    <t>знаменатель</t>
  </si>
  <si>
    <t>Dc</t>
  </si>
  <si>
    <t>числитель</t>
  </si>
  <si>
    <t>αβ</t>
  </si>
  <si>
    <t>ρ_a*ρ_b - αβ</t>
  </si>
  <si>
    <t>ρ_a*ρ_b</t>
  </si>
  <si>
    <t>αβ через  σ</t>
  </si>
  <si>
    <t>СОШЛОСЬ! Невязка = 0,00E+00</t>
  </si>
  <si>
    <t>СОШЛОСЬ! Невязка = 1,24E-16</t>
  </si>
  <si>
    <t>СОШЛОСЬ! Невязка = 1,57E-16</t>
  </si>
  <si>
    <t>СОШЛОСЬ! Невязка = 3,14E-16</t>
  </si>
  <si>
    <t>СОШЛОСЬ! Невязка = 2,48E-16</t>
  </si>
  <si>
    <t>одна неустойчивая</t>
  </si>
  <si>
    <t>все после неустойчивые</t>
  </si>
  <si>
    <t>СОШЛОСЬ! Невязка = 1,75E-13</t>
  </si>
  <si>
    <t>подбор через a и c</t>
  </si>
  <si>
    <t>СОШЛОСЬ! Невязка = 1,23E-17</t>
  </si>
  <si>
    <t>СОШЛОСЬ! Невязка = 2,66E-15</t>
  </si>
  <si>
    <t>СОШЛОСЬ! Невязка = 1,45E-16</t>
  </si>
  <si>
    <t>СОШЛОСЬ! Невязка = 6,05E-14</t>
  </si>
  <si>
    <t>СОШЛОСЬ! Невязка = 1,54E-13</t>
  </si>
  <si>
    <t>СОШЛОСЬ! Невязка = 4,27E-14</t>
  </si>
  <si>
    <t>СОШЛОСЬ! Невязка = 1,05E-14</t>
  </si>
  <si>
    <t>СОШЛОСЬ! Невязка = 2,01E-14</t>
  </si>
  <si>
    <t>СОШЛОСЬ! Невязка = 1,29E-13</t>
  </si>
  <si>
    <t>СОШЛОСЬ! Невязка = 5,87E-13</t>
  </si>
  <si>
    <t>СОШЛОСЬ!</t>
  </si>
  <si>
    <t>p1p2-p3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</si>
</sst>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9"/>
      <color rgb="FF0F1115"/>
      <name val="Segoe UI"/>
      <family val="2"/>
      <charset val="204"/>
    </font>
    <font>
      <sz val="8"/>
      <color rgb="FF0F1115"/>
      <name val="Consolas"/>
      <family val="3"/>
      <charset val="204"/>
    </font>
    <font>
      <sz val="11"/>
      <color rgb="FF008000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i/>
      <sz val="12"/>
      <color rgb="FF0F1115"/>
      <name val="KaTeX_Math"/>
    </font>
    <font>
      <sz val="11"/>
      <name val="Calibri"/>
      <family val="2"/>
      <scheme val="minor"/>
    </font>
    <font>
      <i/>
      <sz val="12"/>
      <color rgb="FF0F1115"/>
      <name val="Calibri"/>
      <family val="2"/>
      <charset val="204"/>
      <scheme val="minor"/>
    </font>
    <font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/>
    <xf numFmtId="0" fontId="2" fillId="2" borderId="0" xfId="0" applyFont="1" applyFill="1" applyAlignment="1">
      <alignment horizontal="left" vertical="center" wrapText="1" indent="1"/>
    </xf>
    <xf numFmtId="0" fontId="1" fillId="3" borderId="0" xfId="0" applyFont="1" applyFill="1"/>
    <xf numFmtId="0" fontId="0" fillId="4" borderId="0" xfId="0" applyFill="1"/>
    <xf numFmtId="0" fontId="0" fillId="0" borderId="0" xfId="0" applyAlignment="1">
      <alignment horizontal="right"/>
    </xf>
    <xf numFmtId="0" fontId="3" fillId="0" borderId="0" xfId="0" applyFont="1"/>
    <xf numFmtId="0" fontId="0" fillId="6" borderId="0" xfId="0" applyFill="1"/>
    <xf numFmtId="0" fontId="2" fillId="7" borderId="0" xfId="0" applyFont="1" applyFill="1" applyAlignment="1">
      <alignment horizontal="left" vertical="center" wrapText="1" indent="1"/>
    </xf>
    <xf numFmtId="0" fontId="0" fillId="7" borderId="0" xfId="0" applyFill="1"/>
    <xf numFmtId="0" fontId="0" fillId="8" borderId="0" xfId="0" applyFill="1"/>
    <xf numFmtId="0" fontId="0" fillId="8" borderId="0" xfId="0" applyFill="1" applyAlignment="1">
      <alignment horizontal="left"/>
    </xf>
    <xf numFmtId="0" fontId="0" fillId="9" borderId="0" xfId="0" applyFill="1"/>
    <xf numFmtId="0" fontId="0" fillId="10" borderId="0" xfId="0" applyFill="1"/>
    <xf numFmtId="0" fontId="2" fillId="0" borderId="0" xfId="0" applyFont="1" applyAlignment="1">
      <alignment horizontal="right"/>
    </xf>
    <xf numFmtId="0" fontId="2" fillId="8" borderId="0" xfId="0" applyFont="1" applyFill="1" applyAlignment="1">
      <alignment horizontal="left" vertical="center" wrapText="1" indent="1"/>
    </xf>
    <xf numFmtId="0" fontId="0" fillId="11" borderId="0" xfId="0" applyFill="1" applyAlignment="1">
      <alignment horizontal="right"/>
    </xf>
    <xf numFmtId="0" fontId="0" fillId="11" borderId="0" xfId="0" applyFill="1"/>
    <xf numFmtId="0" fontId="2" fillId="10" borderId="0" xfId="0" applyFont="1" applyFill="1" applyAlignment="1">
      <alignment horizontal="left" vertical="center" wrapText="1" indent="1"/>
    </xf>
    <xf numFmtId="0" fontId="0" fillId="0" borderId="0" xfId="0" applyFill="1"/>
    <xf numFmtId="0" fontId="2" fillId="11" borderId="0" xfId="0" applyFont="1" applyFill="1"/>
    <xf numFmtId="0" fontId="2" fillId="11" borderId="0" xfId="0" applyFont="1" applyFill="1" applyAlignment="1">
      <alignment horizontal="left" vertical="center" wrapText="1" indent="1"/>
    </xf>
    <xf numFmtId="0" fontId="0" fillId="12" borderId="0" xfId="0" applyFill="1"/>
    <xf numFmtId="0" fontId="7" fillId="0" borderId="0" xfId="0" applyFont="1" applyFill="1"/>
    <xf numFmtId="0" fontId="1" fillId="0" borderId="0" xfId="0" applyFont="1" applyFill="1"/>
    <xf numFmtId="0" fontId="0" fillId="0" borderId="0" xfId="0" applyFill="1" applyAlignment="1">
      <alignment horizontal="right"/>
    </xf>
    <xf numFmtId="0" fontId="6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8" fillId="16" borderId="0" xfId="0" applyFont="1" applyFill="1"/>
    <xf numFmtId="0" fontId="0" fillId="17" borderId="0" xfId="0" applyFill="1"/>
    <xf numFmtId="0" fontId="8" fillId="17" borderId="0" xfId="0" applyFont="1" applyFill="1"/>
    <xf numFmtId="0" fontId="8" fillId="5" borderId="0" xfId="0" applyFont="1" applyFill="1"/>
    <xf numFmtId="0" fontId="0" fillId="5" borderId="0" xfId="0" applyFill="1"/>
    <xf numFmtId="0" fontId="8" fillId="9" borderId="0" xfId="0" applyFont="1" applyFill="1"/>
    <xf numFmtId="0" fontId="2" fillId="0" borderId="0" xfId="0" applyFont="1" applyFill="1"/>
    <xf numFmtId="0" fontId="5" fillId="0" borderId="1" xfId="0" applyFont="1" applyBorder="1"/>
    <xf numFmtId="0" fontId="0" fillId="0" borderId="2" xfId="0" applyFill="1" applyBorder="1"/>
    <xf numFmtId="0" fontId="0" fillId="14" borderId="3" xfId="0" applyFill="1" applyBorder="1"/>
    <xf numFmtId="0" fontId="0" fillId="14" borderId="4" xfId="0" applyFill="1" applyBorder="1"/>
    <xf numFmtId="0" fontId="5" fillId="0" borderId="3" xfId="0" applyFont="1" applyBorder="1"/>
    <xf numFmtId="0" fontId="0" fillId="0" borderId="4" xfId="0" applyFill="1" applyBorder="1"/>
    <xf numFmtId="0" fontId="1" fillId="3" borderId="3" xfId="0" applyFont="1" applyFill="1" applyBorder="1"/>
    <xf numFmtId="0" fontId="0" fillId="0" borderId="3" xfId="0" applyBorder="1"/>
    <xf numFmtId="0" fontId="0" fillId="0" borderId="4" xfId="0" applyBorder="1"/>
    <xf numFmtId="0" fontId="8" fillId="5" borderId="5" xfId="0" applyFont="1" applyFill="1" applyBorder="1"/>
    <xf numFmtId="0" fontId="0" fillId="5" borderId="6" xfId="0" applyFill="1" applyBorder="1"/>
    <xf numFmtId="0" fontId="8" fillId="5" borderId="3" xfId="0" applyFont="1" applyFill="1" applyBorder="1"/>
    <xf numFmtId="0" fontId="0" fillId="5" borderId="4" xfId="0" applyFill="1" applyBorder="1"/>
    <xf numFmtId="0" fontId="1" fillId="12" borderId="0" xfId="0" applyFont="1" applyFill="1"/>
    <xf numFmtId="0" fontId="1" fillId="16" borderId="0" xfId="0" applyFont="1" applyFill="1"/>
    <xf numFmtId="2" fontId="0" fillId="0" borderId="0" xfId="0" applyNumberFormat="1"/>
    <xf numFmtId="0" fontId="2" fillId="0" borderId="0" xfId="0" applyFont="1" applyFill="1" applyAlignment="1">
      <alignment horizontal="left" vertical="center" wrapText="1" indent="1"/>
    </xf>
    <xf numFmtId="0" fontId="0" fillId="0" borderId="0" xfId="0" applyFill="1" applyAlignment="1">
      <alignment horizontal="left"/>
    </xf>
    <xf numFmtId="0" fontId="2" fillId="0" borderId="0" xfId="0" applyFont="1" applyFill="1" applyAlignment="1">
      <alignment horizontal="right"/>
    </xf>
    <xf numFmtId="0" fontId="5" fillId="0" borderId="0" xfId="0" applyFont="1" applyFill="1"/>
    <xf numFmtId="0" fontId="3" fillId="0" borderId="0" xfId="0" applyFont="1" applyFill="1"/>
    <xf numFmtId="0" fontId="9" fillId="0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9999"/>
      <color rgb="FFCCCCFF"/>
      <color rgb="FFFF7C80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601980</xdr:colOff>
          <xdr:row>4</xdr:row>
          <xdr:rowOff>30480</xdr:rowOff>
        </xdr:from>
        <xdr:to>
          <xdr:col>4</xdr:col>
          <xdr:colOff>7620</xdr:colOff>
          <xdr:row>6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601980</xdr:colOff>
          <xdr:row>4</xdr:row>
          <xdr:rowOff>30480</xdr:rowOff>
        </xdr:from>
        <xdr:to>
          <xdr:col>4</xdr:col>
          <xdr:colOff>7620</xdr:colOff>
          <xdr:row>6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ок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266700</xdr:colOff>
      <xdr:row>20</xdr:row>
      <xdr:rowOff>0</xdr:rowOff>
    </xdr:from>
    <xdr:ext cx="188193" cy="1785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3560BC1-9AAD-220F-F418-B42A312227E9}"/>
                </a:ext>
              </a:extLst>
            </xdr:cNvPr>
            <xdr:cNvSpPr txBox="1"/>
          </xdr:nvSpPr>
          <xdr:spPr>
            <a:xfrm>
              <a:off x="3291840" y="4000500"/>
              <a:ext cx="188193" cy="1785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ru-RU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p>
                    </m:sSubSup>
                  </m:oMath>
                </m:oMathPara>
              </a14:m>
              <a:endParaRPr lang="ru-RU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3560BC1-9AAD-220F-F418-B42A312227E9}"/>
                </a:ext>
              </a:extLst>
            </xdr:cNvPr>
            <xdr:cNvSpPr txBox="1"/>
          </xdr:nvSpPr>
          <xdr:spPr>
            <a:xfrm>
              <a:off x="3291840" y="4000500"/>
              <a:ext cx="188193" cy="1785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𝑃</a:t>
              </a:r>
              <a:r>
                <a:rPr lang="ru-RU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3</a:t>
              </a:r>
              <a:r>
                <a:rPr lang="ru-RU" sz="1100" b="0" i="0">
                  <a:latin typeface="Cambria Math" panose="02040503050406030204" pitchFamily="18" charset="0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</a:rPr>
                <a:t>0</a:t>
              </a:r>
              <a:endParaRPr lang="ru-RU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8</xdr:row>
          <xdr:rowOff>167640</xdr:rowOff>
        </xdr:from>
        <xdr:to>
          <xdr:col>9</xdr:col>
          <xdr:colOff>746760</xdr:colOff>
          <xdr:row>10</xdr:row>
          <xdr:rowOff>7620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Сигмы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182880</xdr:colOff>
          <xdr:row>23</xdr:row>
          <xdr:rowOff>0</xdr:rowOff>
        </xdr:from>
        <xdr:to>
          <xdr:col>9</xdr:col>
          <xdr:colOff>746760</xdr:colOff>
          <xdr:row>24</xdr:row>
          <xdr:rowOff>22860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W25"/>
  <sheetViews>
    <sheetView workbookViewId="0">
      <selection activeCell="D32" sqref="A13:D32"/>
    </sheetView>
  </sheetViews>
  <sheetFormatPr defaultRowHeight="14.4"/>
  <cols>
    <col min="2" max="2" width="12" bestFit="1" customWidth="1"/>
    <col min="3" max="3" width="9.88671875" bestFit="1" customWidth="1"/>
    <col min="4" max="4" width="10.6640625" bestFit="1" customWidth="1"/>
    <col min="9" max="10" width="11.44140625" bestFit="1" customWidth="1"/>
    <col min="13" max="13" width="11.44140625" bestFit="1" customWidth="1"/>
    <col min="17" max="17" width="11.44140625" bestFit="1" customWidth="1"/>
    <col min="21" max="22" width="11.44140625" bestFit="1" customWidth="1"/>
  </cols>
  <sheetData>
    <row r="1" spans="1:2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</row>
    <row r="2" spans="1:23">
      <c r="A2" s="24"/>
      <c r="B2" s="19"/>
      <c r="C2" s="19"/>
      <c r="D2" s="19"/>
      <c r="E2" s="19"/>
      <c r="F2" s="19"/>
      <c r="G2" s="19"/>
      <c r="H2" s="54"/>
      <c r="I2" s="54"/>
      <c r="J2" s="54"/>
      <c r="K2" s="19"/>
      <c r="L2" s="54"/>
      <c r="M2" s="19"/>
      <c r="N2" s="19"/>
      <c r="O2" s="19"/>
      <c r="P2" s="54"/>
      <c r="Q2" s="19"/>
      <c r="R2" s="19"/>
      <c r="S2" s="19"/>
      <c r="T2" s="54"/>
      <c r="U2" s="54"/>
      <c r="V2" s="54"/>
      <c r="W2" s="19"/>
    </row>
    <row r="3" spans="1:23">
      <c r="A3" s="24"/>
      <c r="B3" s="19"/>
      <c r="C3" s="19"/>
      <c r="D3" s="19"/>
      <c r="E3" s="19"/>
      <c r="F3" s="19"/>
      <c r="G3" s="19"/>
      <c r="H3" s="19"/>
      <c r="I3" s="54"/>
      <c r="J3" s="54"/>
      <c r="K3" s="19"/>
      <c r="L3" s="54"/>
      <c r="M3" s="19"/>
      <c r="N3" s="19"/>
      <c r="O3" s="19"/>
      <c r="P3" s="54"/>
      <c r="Q3" s="19"/>
      <c r="R3" s="19"/>
      <c r="S3" s="19"/>
      <c r="T3" s="54"/>
      <c r="U3" s="19"/>
      <c r="V3" s="54"/>
      <c r="W3" s="19"/>
    </row>
    <row r="4" spans="1:23">
      <c r="A4" s="24"/>
      <c r="B4" s="19"/>
      <c r="C4" s="19"/>
      <c r="D4" s="19"/>
      <c r="E4" s="19"/>
      <c r="F4" s="19"/>
      <c r="G4" s="19"/>
      <c r="H4" s="54"/>
      <c r="I4" s="54"/>
      <c r="J4" s="54"/>
      <c r="K4" s="19"/>
      <c r="L4" s="19"/>
      <c r="M4" s="19"/>
      <c r="N4" s="19"/>
      <c r="O4" s="19"/>
      <c r="P4" s="19"/>
      <c r="Q4" s="19"/>
      <c r="R4" s="19"/>
      <c r="S4" s="19"/>
      <c r="T4" s="54"/>
      <c r="U4" s="54"/>
      <c r="V4" s="54"/>
      <c r="W4" s="19"/>
    </row>
    <row r="5" spans="1:23">
      <c r="A5" s="24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</row>
    <row r="6" spans="1:23">
      <c r="A6" s="24"/>
      <c r="B6" s="19"/>
      <c r="C6" s="19"/>
      <c r="D6" s="19"/>
      <c r="E6" s="19"/>
      <c r="F6" s="19"/>
      <c r="G6" s="19"/>
      <c r="H6" s="19"/>
      <c r="I6" s="19"/>
      <c r="J6" s="19"/>
      <c r="K6" s="19"/>
      <c r="L6" s="37"/>
      <c r="M6" s="54"/>
      <c r="N6" s="19"/>
      <c r="O6" s="19"/>
      <c r="P6" s="19"/>
      <c r="Q6" s="19"/>
      <c r="R6" s="19"/>
      <c r="S6" s="19"/>
      <c r="T6" s="19"/>
      <c r="U6" s="19"/>
      <c r="V6" s="19"/>
      <c r="W6" s="19"/>
    </row>
    <row r="7" spans="1:23">
      <c r="A7" s="24"/>
      <c r="B7" s="25"/>
      <c r="C7" s="19"/>
      <c r="D7" s="19"/>
      <c r="E7" s="19"/>
      <c r="F7" s="19"/>
      <c r="G7" s="55"/>
      <c r="H7" s="19"/>
      <c r="I7" s="19"/>
      <c r="J7" s="19"/>
      <c r="K7" s="19"/>
      <c r="L7" s="37"/>
      <c r="M7" s="37"/>
      <c r="N7" s="19"/>
      <c r="O7" s="19"/>
      <c r="P7" s="37"/>
      <c r="Q7" s="54"/>
      <c r="R7" s="19"/>
      <c r="S7" s="19"/>
      <c r="T7" s="37"/>
      <c r="U7" s="54"/>
      <c r="V7" s="19"/>
      <c r="W7" s="19"/>
    </row>
    <row r="8" spans="1:23">
      <c r="A8" s="24"/>
      <c r="B8" s="25"/>
      <c r="C8" s="19"/>
      <c r="D8" s="19"/>
      <c r="E8" s="19"/>
      <c r="F8" s="19"/>
      <c r="G8" s="19"/>
      <c r="H8" s="19"/>
      <c r="I8" s="19"/>
      <c r="J8" s="19"/>
      <c r="K8" s="19"/>
      <c r="L8" s="19"/>
      <c r="M8" s="54"/>
      <c r="N8" s="19"/>
      <c r="O8" s="19"/>
      <c r="P8" s="19"/>
      <c r="Q8" s="19"/>
      <c r="R8" s="19"/>
      <c r="S8" s="19"/>
      <c r="T8" s="19"/>
      <c r="U8" s="19"/>
      <c r="V8" s="19"/>
      <c r="W8" s="19"/>
    </row>
    <row r="9" spans="1:23">
      <c r="A9" s="24"/>
      <c r="B9" s="25"/>
      <c r="C9" s="19"/>
      <c r="D9" s="19"/>
      <c r="E9" s="19"/>
      <c r="F9" s="19"/>
      <c r="G9" s="19"/>
      <c r="H9" s="19"/>
      <c r="I9" s="19"/>
      <c r="J9" s="19"/>
      <c r="K9" s="19"/>
      <c r="L9" s="19"/>
      <c r="M9" s="56"/>
      <c r="N9" s="19"/>
      <c r="O9" s="19"/>
      <c r="P9" s="19"/>
      <c r="Q9" s="19"/>
      <c r="R9" s="19"/>
      <c r="S9" s="19"/>
      <c r="T9" s="19"/>
      <c r="U9" s="19"/>
      <c r="V9" s="19"/>
      <c r="W9" s="19"/>
    </row>
    <row r="10" spans="1:23">
      <c r="A10" s="19"/>
      <c r="B10" s="25"/>
      <c r="C10" s="19"/>
      <c r="D10" s="19"/>
      <c r="E10" s="19"/>
      <c r="F10" s="19"/>
      <c r="G10" s="19"/>
      <c r="H10" s="57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</row>
    <row r="11" spans="1:23">
      <c r="A11" s="24"/>
      <c r="B11" s="25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</row>
    <row r="12" spans="1:23">
      <c r="A12" s="24"/>
      <c r="B12" s="25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</row>
    <row r="13" spans="1:23">
      <c r="A13" s="24"/>
      <c r="B13" s="25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</row>
    <row r="14" spans="1:23">
      <c r="A14" s="19"/>
      <c r="B14" s="25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</row>
    <row r="15" spans="1:23">
      <c r="A15" s="24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</row>
    <row r="16" spans="1:23">
      <c r="A16" s="24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</row>
    <row r="17" spans="1:23">
      <c r="A17" s="24"/>
      <c r="B17" s="25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</row>
    <row r="18" spans="1:23">
      <c r="A18" s="55"/>
      <c r="B18" s="19"/>
      <c r="C18" s="54"/>
      <c r="D18" s="54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</row>
    <row r="19" spans="1:23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</row>
    <row r="20" spans="1:23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</row>
    <row r="21" spans="1:23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</row>
    <row r="22" spans="1:2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</row>
    <row r="23" spans="1:2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</row>
    <row r="24" spans="1:23">
      <c r="A24" s="19"/>
      <c r="B24" s="5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</row>
    <row r="25" spans="1:23">
      <c r="A25" s="19"/>
      <c r="B25" s="5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ndEquilibriumPoint">
                <anchor moveWithCells="1" sizeWithCells="1">
                  <from>
                    <xdr:col>2</xdr:col>
                    <xdr:colOff>601980</xdr:colOff>
                    <xdr:row>4</xdr:row>
                    <xdr:rowOff>30480</xdr:rowOff>
                  </from>
                  <to>
                    <xdr:col>4</xdr:col>
                    <xdr:colOff>7620</xdr:colOff>
                    <xdr:row>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F4B1F-CB44-4668-9B39-E214E9F79D7F}">
  <sheetPr codeName="Лист2"/>
  <dimension ref="A1:V23"/>
  <sheetViews>
    <sheetView workbookViewId="0">
      <selection activeCell="U1" sqref="U1:V22"/>
    </sheetView>
  </sheetViews>
  <sheetFormatPr defaultRowHeight="14.4"/>
  <cols>
    <col min="2" max="2" width="12" bestFit="1" customWidth="1"/>
  </cols>
  <sheetData>
    <row r="1" spans="1:22">
      <c r="A1" s="4" t="s">
        <v>2</v>
      </c>
      <c r="B1" s="4" t="s">
        <v>3</v>
      </c>
      <c r="E1" s="4" t="s">
        <v>2</v>
      </c>
      <c r="F1" s="4" t="s">
        <v>3</v>
      </c>
      <c r="I1" s="4" t="s">
        <v>2</v>
      </c>
      <c r="J1" s="4" t="s">
        <v>3</v>
      </c>
      <c r="M1" s="4" t="s">
        <v>2</v>
      </c>
      <c r="N1" s="4" t="s">
        <v>3</v>
      </c>
      <c r="Q1" s="4" t="s">
        <v>2</v>
      </c>
      <c r="R1" s="4" t="s">
        <v>3</v>
      </c>
      <c r="U1" s="4" t="s">
        <v>2</v>
      </c>
      <c r="V1" s="4" t="s">
        <v>3</v>
      </c>
    </row>
    <row r="2" spans="1:22">
      <c r="A2" s="3" t="s">
        <v>0</v>
      </c>
      <c r="B2">
        <v>1</v>
      </c>
      <c r="D2" s="2"/>
      <c r="E2" s="3" t="s">
        <v>0</v>
      </c>
      <c r="F2">
        <v>1</v>
      </c>
      <c r="I2" s="3" t="s">
        <v>0</v>
      </c>
      <c r="J2">
        <v>1</v>
      </c>
      <c r="M2" s="3" t="s">
        <v>0</v>
      </c>
      <c r="N2">
        <v>1</v>
      </c>
      <c r="Q2" s="3" t="s">
        <v>0</v>
      </c>
      <c r="R2">
        <v>1</v>
      </c>
      <c r="U2" s="3" t="s">
        <v>0</v>
      </c>
      <c r="V2">
        <v>1</v>
      </c>
    </row>
    <row r="3" spans="1:22">
      <c r="A3" s="3" t="s">
        <v>1</v>
      </c>
      <c r="B3">
        <v>1</v>
      </c>
      <c r="D3" s="1"/>
      <c r="E3" s="3" t="s">
        <v>1</v>
      </c>
      <c r="F3">
        <v>1</v>
      </c>
      <c r="I3" s="3" t="s">
        <v>1</v>
      </c>
      <c r="J3">
        <v>1</v>
      </c>
      <c r="M3" s="3" t="s">
        <v>1</v>
      </c>
      <c r="N3">
        <v>1</v>
      </c>
      <c r="Q3" s="3" t="s">
        <v>1</v>
      </c>
      <c r="R3">
        <v>1</v>
      </c>
      <c r="U3" s="3" t="s">
        <v>1</v>
      </c>
      <c r="V3">
        <v>1</v>
      </c>
    </row>
    <row r="4" spans="1:22">
      <c r="A4" s="3" t="s">
        <v>4</v>
      </c>
      <c r="B4">
        <v>1</v>
      </c>
      <c r="E4" s="3" t="s">
        <v>4</v>
      </c>
      <c r="F4">
        <v>0.5</v>
      </c>
      <c r="I4" s="3" t="s">
        <v>4</v>
      </c>
      <c r="J4">
        <v>0.5</v>
      </c>
      <c r="M4" s="3" t="s">
        <v>4</v>
      </c>
      <c r="N4">
        <v>1</v>
      </c>
      <c r="Q4" s="3" t="s">
        <v>4</v>
      </c>
      <c r="R4">
        <v>1</v>
      </c>
      <c r="U4" s="3" t="s">
        <v>4</v>
      </c>
      <c r="V4" s="53">
        <v>1</v>
      </c>
    </row>
    <row r="5" spans="1:22">
      <c r="A5" s="3" t="s">
        <v>5</v>
      </c>
      <c r="B5">
        <v>10</v>
      </c>
      <c r="E5" s="3" t="s">
        <v>5</v>
      </c>
      <c r="F5">
        <v>10</v>
      </c>
      <c r="I5" s="3" t="s">
        <v>5</v>
      </c>
      <c r="J5">
        <v>10</v>
      </c>
      <c r="M5" s="3" t="s">
        <v>5</v>
      </c>
      <c r="N5">
        <v>5</v>
      </c>
      <c r="Q5" s="3" t="s">
        <v>5</v>
      </c>
      <c r="R5">
        <v>5</v>
      </c>
      <c r="U5" s="3" t="s">
        <v>5</v>
      </c>
      <c r="V5">
        <v>5</v>
      </c>
    </row>
    <row r="6" spans="1:22">
      <c r="A6" s="3" t="s">
        <v>6</v>
      </c>
      <c r="B6">
        <v>10</v>
      </c>
      <c r="E6" s="3" t="s">
        <v>6</v>
      </c>
      <c r="F6">
        <v>10</v>
      </c>
      <c r="I6" s="3" t="s">
        <v>6</v>
      </c>
      <c r="J6">
        <v>10</v>
      </c>
      <c r="M6" s="3" t="s">
        <v>6</v>
      </c>
      <c r="N6">
        <v>5</v>
      </c>
      <c r="Q6" s="3" t="s">
        <v>6</v>
      </c>
      <c r="R6">
        <v>5</v>
      </c>
      <c r="U6" s="3" t="s">
        <v>6</v>
      </c>
      <c r="V6">
        <v>5</v>
      </c>
    </row>
    <row r="7" spans="1:22">
      <c r="A7" s="3" t="s">
        <v>7</v>
      </c>
      <c r="B7" s="5">
        <v>0.1</v>
      </c>
      <c r="E7" s="3" t="s">
        <v>7</v>
      </c>
      <c r="F7" s="5">
        <v>0.1</v>
      </c>
      <c r="I7" s="3" t="s">
        <v>7</v>
      </c>
      <c r="J7" s="5">
        <v>0.01</v>
      </c>
      <c r="M7" s="3" t="s">
        <v>7</v>
      </c>
      <c r="N7" s="5">
        <v>0.01</v>
      </c>
      <c r="Q7" s="3" t="s">
        <v>7</v>
      </c>
      <c r="R7" s="5">
        <v>1.0000000000000001E-5</v>
      </c>
      <c r="U7" s="3" t="s">
        <v>7</v>
      </c>
      <c r="V7" s="5">
        <v>0.01</v>
      </c>
    </row>
    <row r="8" spans="1:22">
      <c r="A8" s="3" t="s">
        <v>8</v>
      </c>
      <c r="B8" s="5">
        <v>0.1</v>
      </c>
      <c r="E8" s="3" t="s">
        <v>8</v>
      </c>
      <c r="F8" s="5">
        <v>0.1</v>
      </c>
      <c r="I8" s="3" t="s">
        <v>8</v>
      </c>
      <c r="J8" s="5">
        <v>0.01</v>
      </c>
      <c r="M8" s="3" t="s">
        <v>8</v>
      </c>
      <c r="N8" s="5">
        <v>0.01</v>
      </c>
      <c r="Q8" s="3" t="s">
        <v>8</v>
      </c>
      <c r="R8" s="5">
        <v>1E-4</v>
      </c>
      <c r="U8" s="3" t="s">
        <v>8</v>
      </c>
      <c r="V8" s="5">
        <v>0.01</v>
      </c>
    </row>
    <row r="9" spans="1:22">
      <c r="A9" s="24"/>
      <c r="B9" s="5"/>
      <c r="E9" s="24"/>
      <c r="F9" s="5"/>
      <c r="I9" s="24"/>
      <c r="J9" s="5"/>
      <c r="M9" s="24"/>
      <c r="N9" s="5"/>
      <c r="Q9" s="24"/>
      <c r="R9" s="5"/>
      <c r="U9" s="24"/>
      <c r="V9" s="5"/>
    </row>
    <row r="10" spans="1:22">
      <c r="B10" s="5"/>
      <c r="F10" s="5"/>
      <c r="J10" s="5"/>
      <c r="N10" s="5"/>
      <c r="R10" s="5"/>
      <c r="V10" s="5"/>
    </row>
    <row r="11" spans="1:22">
      <c r="A11" s="3" t="s">
        <v>9</v>
      </c>
      <c r="B11" s="5">
        <v>0.01</v>
      </c>
      <c r="E11" s="3" t="s">
        <v>9</v>
      </c>
      <c r="F11" s="5">
        <v>0.01</v>
      </c>
      <c r="I11" s="3" t="s">
        <v>9</v>
      </c>
      <c r="J11" s="5">
        <v>0.01</v>
      </c>
      <c r="M11" s="3" t="s">
        <v>9</v>
      </c>
      <c r="N11" s="5">
        <v>0.01</v>
      </c>
      <c r="Q11" s="3" t="s">
        <v>9</v>
      </c>
      <c r="R11" s="5">
        <v>1.0000000000000001E-5</v>
      </c>
      <c r="U11" s="3" t="s">
        <v>9</v>
      </c>
      <c r="V11" s="5">
        <v>1</v>
      </c>
    </row>
    <row r="12" spans="1:22">
      <c r="A12" s="3" t="s">
        <v>10</v>
      </c>
      <c r="B12" s="5">
        <v>0.01</v>
      </c>
      <c r="E12" s="3" t="s">
        <v>10</v>
      </c>
      <c r="F12" s="5">
        <v>0.01</v>
      </c>
      <c r="I12" s="3" t="s">
        <v>10</v>
      </c>
      <c r="J12" s="5">
        <v>0.01</v>
      </c>
      <c r="M12" s="3" t="s">
        <v>10</v>
      </c>
      <c r="N12" s="5">
        <v>0.01</v>
      </c>
      <c r="Q12" s="3" t="s">
        <v>10</v>
      </c>
      <c r="R12" s="5">
        <v>1.0000000000000001E-5</v>
      </c>
      <c r="U12" s="3" t="s">
        <v>10</v>
      </c>
      <c r="V12" s="5">
        <v>1</v>
      </c>
    </row>
    <row r="13" spans="1:22">
      <c r="A13" s="3" t="s">
        <v>11</v>
      </c>
      <c r="B13" s="5">
        <v>0.01</v>
      </c>
      <c r="E13" s="3" t="s">
        <v>11</v>
      </c>
      <c r="F13" s="5">
        <v>0.01</v>
      </c>
      <c r="I13" s="3" t="s">
        <v>11</v>
      </c>
      <c r="J13" s="5">
        <v>1.6752632487276742</v>
      </c>
      <c r="M13" s="3" t="s">
        <v>11</v>
      </c>
      <c r="N13" s="5">
        <v>168.33193170304699</v>
      </c>
      <c r="Q13" s="3" t="s">
        <v>11</v>
      </c>
      <c r="R13" s="5">
        <v>0.01</v>
      </c>
      <c r="U13" s="3" t="s">
        <v>11</v>
      </c>
      <c r="V13" s="5">
        <v>0.01</v>
      </c>
    </row>
    <row r="14" spans="1:22">
      <c r="A14" s="24"/>
      <c r="B14" s="25"/>
      <c r="E14" s="24"/>
      <c r="F14" s="25"/>
      <c r="I14" s="24"/>
      <c r="J14" s="25"/>
      <c r="M14" s="24"/>
      <c r="N14" s="25"/>
      <c r="Q14" s="24"/>
      <c r="R14" s="25"/>
      <c r="U14" s="24"/>
      <c r="V14" s="25"/>
    </row>
    <row r="15" spans="1:22">
      <c r="A15" s="3" t="s">
        <v>16</v>
      </c>
      <c r="B15">
        <v>100</v>
      </c>
      <c r="E15" s="3" t="s">
        <v>16</v>
      </c>
      <c r="F15">
        <v>100</v>
      </c>
      <c r="I15" s="3" t="s">
        <v>16</v>
      </c>
      <c r="J15">
        <v>100</v>
      </c>
      <c r="M15" s="3" t="s">
        <v>16</v>
      </c>
      <c r="N15">
        <v>100</v>
      </c>
      <c r="Q15" s="3" t="s">
        <v>16</v>
      </c>
      <c r="R15">
        <v>100</v>
      </c>
      <c r="U15" s="3" t="s">
        <v>16</v>
      </c>
      <c r="V15">
        <v>50</v>
      </c>
    </row>
    <row r="16" spans="1:22">
      <c r="A16" s="3" t="s">
        <v>17</v>
      </c>
      <c r="B16">
        <v>10</v>
      </c>
      <c r="E16" s="3" t="s">
        <v>17</v>
      </c>
      <c r="F16">
        <v>10</v>
      </c>
      <c r="I16" s="3" t="s">
        <v>17</v>
      </c>
      <c r="J16">
        <v>10</v>
      </c>
      <c r="M16" s="3" t="s">
        <v>17</v>
      </c>
      <c r="N16">
        <v>10</v>
      </c>
      <c r="Q16" s="3" t="s">
        <v>17</v>
      </c>
      <c r="R16">
        <v>10</v>
      </c>
      <c r="U16" s="3" t="s">
        <v>17</v>
      </c>
      <c r="V16">
        <v>10</v>
      </c>
    </row>
    <row r="17" spans="1:22">
      <c r="A17" s="3" t="s">
        <v>28</v>
      </c>
      <c r="B17" s="16">
        <v>1</v>
      </c>
      <c r="E17" s="22" t="s">
        <v>40</v>
      </c>
      <c r="F17" s="22">
        <f>F15/F16</f>
        <v>10</v>
      </c>
      <c r="I17" s="3" t="s">
        <v>28</v>
      </c>
      <c r="J17" s="16">
        <v>30</v>
      </c>
      <c r="M17" s="3" t="s">
        <v>28</v>
      </c>
      <c r="N17" s="16">
        <v>10</v>
      </c>
      <c r="Q17" s="3" t="s">
        <v>28</v>
      </c>
      <c r="R17" s="16">
        <v>1</v>
      </c>
      <c r="U17" s="3" t="s">
        <v>28</v>
      </c>
      <c r="V17" s="16">
        <v>2</v>
      </c>
    </row>
    <row r="18" spans="1:22">
      <c r="A18" s="19"/>
      <c r="B18" s="19"/>
      <c r="E18" s="3" t="s">
        <v>28</v>
      </c>
      <c r="F18" s="16">
        <v>1</v>
      </c>
      <c r="I18" s="11" t="s">
        <v>29</v>
      </c>
      <c r="J18" s="10">
        <f xml:space="preserve"> (J17 * PI() / J15)^2</f>
        <v>0.88826439609804198</v>
      </c>
      <c r="M18" s="11" t="s">
        <v>29</v>
      </c>
      <c r="N18" s="10">
        <f xml:space="preserve"> (N17 * PI() / N15)^2</f>
        <v>9.8696044010893574E-2</v>
      </c>
      <c r="Q18" s="11" t="s">
        <v>29</v>
      </c>
      <c r="R18" s="10">
        <f xml:space="preserve"> (R17 * PI() / R15)^2</f>
        <v>9.8696044010893589E-4</v>
      </c>
      <c r="U18" s="11" t="s">
        <v>29</v>
      </c>
      <c r="V18" s="10">
        <f xml:space="preserve"> (V17 * PI() / V15)^2</f>
        <v>1.5791367041742974E-2</v>
      </c>
    </row>
    <row r="19" spans="1:22">
      <c r="A19" s="19"/>
      <c r="B19" s="37"/>
      <c r="Q19" t="s">
        <v>18</v>
      </c>
      <c r="U19" t="s">
        <v>18</v>
      </c>
    </row>
    <row r="20" spans="1:22">
      <c r="A20" s="19"/>
      <c r="B20" s="37"/>
      <c r="I20" s="3" t="s">
        <v>52</v>
      </c>
      <c r="M20" s="3" t="s">
        <v>51</v>
      </c>
      <c r="Q20" s="28" t="s">
        <v>12</v>
      </c>
      <c r="R20" s="28">
        <v>0.47251636089078941</v>
      </c>
      <c r="U20" s="28" t="s">
        <v>12</v>
      </c>
      <c r="V20" s="28">
        <v>0.47739372068315294</v>
      </c>
    </row>
    <row r="21" spans="1:22">
      <c r="A21" s="19"/>
      <c r="B21" s="19"/>
      <c r="Q21" s="28" t="s">
        <v>13</v>
      </c>
      <c r="R21" s="28">
        <v>0.47257748532047844</v>
      </c>
      <c r="U21" s="28" t="s">
        <v>13</v>
      </c>
      <c r="V21" s="28">
        <v>0.47739372068315289</v>
      </c>
    </row>
    <row r="22" spans="1:22">
      <c r="B22" s="1"/>
      <c r="Q22" s="28" t="s">
        <v>14</v>
      </c>
      <c r="R22" s="28">
        <v>1.0001293593931304</v>
      </c>
      <c r="U22" s="28" t="s">
        <v>14</v>
      </c>
      <c r="V22" s="28">
        <v>0.99999999999999989</v>
      </c>
    </row>
    <row r="23" spans="1:22">
      <c r="B2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BAF5D-264D-465F-82F2-60C0D0CCDDAF}">
  <sheetPr codeName="Лист3"/>
  <dimension ref="A1:V53"/>
  <sheetViews>
    <sheetView tabSelected="1" workbookViewId="0">
      <selection activeCell="B17" sqref="B17"/>
    </sheetView>
  </sheetViews>
  <sheetFormatPr defaultRowHeight="14.4"/>
  <cols>
    <col min="1" max="1" width="10.5546875" customWidth="1"/>
    <col min="2" max="2" width="11.6640625" customWidth="1"/>
    <col min="3" max="3" width="12.109375" customWidth="1"/>
    <col min="4" max="4" width="10.6640625" bestFit="1" customWidth="1"/>
    <col min="5" max="5" width="13.44140625" customWidth="1"/>
    <col min="6" max="6" width="13.109375" customWidth="1"/>
    <col min="8" max="8" width="12.5546875" customWidth="1"/>
    <col min="9" max="9" width="12.44140625" customWidth="1"/>
    <col min="10" max="10" width="11.44140625" customWidth="1"/>
    <col min="12" max="12" width="13" customWidth="1"/>
    <col min="13" max="13" width="13.21875" customWidth="1"/>
    <col min="14" max="14" width="11.44140625" customWidth="1"/>
    <col min="16" max="16" width="13.109375" customWidth="1"/>
    <col min="17" max="17" width="14.77734375" customWidth="1"/>
    <col min="20" max="20" width="12.5546875" customWidth="1"/>
    <col min="21" max="21" width="15.21875" customWidth="1"/>
    <col min="22" max="22" width="11.44140625" bestFit="1" customWidth="1"/>
  </cols>
  <sheetData>
    <row r="1" spans="1:22">
      <c r="A1" s="4" t="s">
        <v>2</v>
      </c>
      <c r="B1" s="4" t="s">
        <v>3</v>
      </c>
      <c r="H1" s="7" t="s">
        <v>15</v>
      </c>
      <c r="I1" s="7"/>
      <c r="J1" s="7"/>
      <c r="L1" s="12" t="s">
        <v>32</v>
      </c>
      <c r="M1" s="12"/>
      <c r="N1" s="12"/>
      <c r="P1" s="12" t="s">
        <v>33</v>
      </c>
      <c r="Q1" s="12"/>
      <c r="R1" s="12"/>
      <c r="T1" s="12" t="s">
        <v>34</v>
      </c>
      <c r="U1" s="12"/>
      <c r="V1" s="12"/>
    </row>
    <row r="2" spans="1:22">
      <c r="A2" s="3" t="s">
        <v>0</v>
      </c>
      <c r="B2">
        <v>1</v>
      </c>
      <c r="H2" s="8">
        <f>-B2</f>
        <v>-1</v>
      </c>
      <c r="I2" s="8">
        <f>-B2*B22*(2*B5*B21)/((1+B5*B21^2)^2)</f>
        <v>-1.0428994758996069</v>
      </c>
      <c r="J2" s="8">
        <f>B2/(1+B5*B21^2)</f>
        <v>0.46739372068315299</v>
      </c>
      <c r="L2" s="18">
        <f>-B2 - B11*B18</f>
        <v>-1.0205921375775815</v>
      </c>
      <c r="M2" s="13">
        <f>-(B2*B22*2*B5*B21)/((1+B5*B21^2)^2)</f>
        <v>-1.0428994758996069</v>
      </c>
      <c r="N2" s="13">
        <f>B2/(1+B5*B21^2)</f>
        <v>0.46739372068315299</v>
      </c>
      <c r="P2" s="18">
        <f>-$B$2 - $B$11*$C$18</f>
        <v>-1.0004873878716587</v>
      </c>
      <c r="Q2" s="13">
        <f>-$B$2*$B$22*(2*$B$5*$B$21)/((1+$B$5*$B$21^2)^2)</f>
        <v>-1.0428994758996069</v>
      </c>
      <c r="R2" s="13">
        <f>$B$2/(1+$B$5*$B$21^2)</f>
        <v>0.46739372068315299</v>
      </c>
      <c r="T2" s="18">
        <f>-$B$2 - $B$11*$D$18</f>
        <v>-1.0010966227112321</v>
      </c>
      <c r="U2" s="18">
        <f>-$B$2*$B$22*(2*$B$5*$B$21)/((1+$B$5*$B$21^2)^2)</f>
        <v>-1.0428994758996069</v>
      </c>
      <c r="V2" s="18">
        <f>$B$2/(1+$B$5*$B$21^2)</f>
        <v>0.46739372068315299</v>
      </c>
    </row>
    <row r="3" spans="1:22">
      <c r="A3" s="3" t="s">
        <v>1</v>
      </c>
      <c r="B3">
        <v>1</v>
      </c>
      <c r="H3" s="9">
        <f>-B3*(2*B6*B20*B22)/((1+B6*B20^2*B22)^2)</f>
        <v>-1.0428994758996066</v>
      </c>
      <c r="I3" s="8">
        <f>-B3</f>
        <v>-1</v>
      </c>
      <c r="J3" s="8">
        <f>-B3*(B6*B20^2)/((1+B6*B20^2*B22)^2)</f>
        <v>-0.24893683054911175</v>
      </c>
      <c r="L3" s="18">
        <f>-B3*(2*B6*B20*B22)/((1+B6*B20^2*B22)^2)</f>
        <v>-1.0428994758996066</v>
      </c>
      <c r="M3" s="13">
        <f>-B3 - B12*B18</f>
        <v>-1.0205921375775815</v>
      </c>
      <c r="N3" s="13">
        <f>-B3*(B6*B20^2)/((1+B6*B20^2*B22)^2)</f>
        <v>-0.24893683054911175</v>
      </c>
      <c r="P3" s="18">
        <f>-$B$3*(2*$B$6*$B$20*$B$22)/((1+$B$6*$B$20^2*$B$22)^2)</f>
        <v>-1.0428994758996066</v>
      </c>
      <c r="Q3" s="13">
        <f>-$B$3 - $B$12*$C$18</f>
        <v>-1.0004873878716587</v>
      </c>
      <c r="R3" s="13">
        <f>-$B$3*($B$6*$B$20^2)/((1+$B$6*$B$20^2*$B$22)^2)</f>
        <v>-0.24893683054911175</v>
      </c>
      <c r="T3" s="18">
        <f>-$B$3*(2*$B$6*$B$20*$B$22)/((1+$B$6*$B$20^2*$B$22)^2)</f>
        <v>-1.0428994758996066</v>
      </c>
      <c r="U3" s="13">
        <f>-$B$3 - $B$12*$D$18</f>
        <v>-1.0010966227112321</v>
      </c>
      <c r="V3" s="18">
        <f>-$B$3*($B$6*$B$20^2)/((1+$B$6*$B$20^2*$B$22)^2)</f>
        <v>-0.24893683054911175</v>
      </c>
    </row>
    <row r="4" spans="1:22">
      <c r="A4" s="3" t="s">
        <v>4</v>
      </c>
      <c r="B4" s="53">
        <v>1</v>
      </c>
      <c r="E4" t="s">
        <v>20</v>
      </c>
      <c r="F4">
        <v>0.5</v>
      </c>
      <c r="H4" s="8">
        <f>-B4*B22</f>
        <v>-0.99999999999999989</v>
      </c>
      <c r="I4" s="8">
        <f>B4</f>
        <v>1</v>
      </c>
      <c r="J4" s="8">
        <f>-B4*B20</f>
        <v>-0.47739372068315294</v>
      </c>
      <c r="L4" s="13">
        <f>-B4*B22</f>
        <v>-0.99999999999999989</v>
      </c>
      <c r="M4" s="13">
        <f>B4</f>
        <v>1</v>
      </c>
      <c r="N4" s="13">
        <f>-B4*B20 - B13*B18</f>
        <v>-0.47945293444091108</v>
      </c>
      <c r="P4" s="13">
        <f>-$B$4*$B$22</f>
        <v>-0.99999999999999989</v>
      </c>
      <c r="Q4" s="13">
        <f>$B$4</f>
        <v>1</v>
      </c>
      <c r="R4" s="13">
        <f>-$B$4*$B$20 - $B$13*$C$18</f>
        <v>-0.47744245947031883</v>
      </c>
      <c r="T4" s="18">
        <f>-$B$4*$B$22</f>
        <v>-0.99999999999999989</v>
      </c>
      <c r="U4" s="18">
        <f>$B$4</f>
        <v>1</v>
      </c>
      <c r="V4" s="18">
        <f>-$B$4*$B$20 - $B$13*$D$18</f>
        <v>-0.47750338295427613</v>
      </c>
    </row>
    <row r="5" spans="1:22">
      <c r="A5" s="3" t="s">
        <v>5</v>
      </c>
      <c r="B5">
        <v>5</v>
      </c>
      <c r="E5" t="s">
        <v>21</v>
      </c>
      <c r="F5">
        <v>0.5</v>
      </c>
      <c r="L5" s="1" t="s">
        <v>30</v>
      </c>
      <c r="M5" s="2">
        <f>L2 + M3 + N4</f>
        <v>-2.5206372095960741</v>
      </c>
      <c r="P5" s="1" t="s">
        <v>30</v>
      </c>
      <c r="Q5">
        <f>P2 + Q3 + R4</f>
        <v>-2.4784172352136364</v>
      </c>
      <c r="T5" s="1" t="s">
        <v>30</v>
      </c>
      <c r="U5">
        <f>T2 + U3 + V4</f>
        <v>-2.4796966283767405</v>
      </c>
    </row>
    <row r="6" spans="1:22">
      <c r="A6" s="3" t="s">
        <v>6</v>
      </c>
      <c r="B6">
        <v>5</v>
      </c>
      <c r="E6" t="s">
        <v>22</v>
      </c>
      <c r="F6">
        <v>0.5</v>
      </c>
      <c r="H6" s="19"/>
      <c r="I6" s="19"/>
      <c r="J6" s="19"/>
      <c r="L6" s="20" t="s">
        <v>31</v>
      </c>
      <c r="M6" s="20">
        <f>L2*(M3*N4 - N3*M4) - M2*(L3*N4 - N3*L4) + N2*(L3*M4 - M3*L4)</f>
        <v>-1.4560723842607355</v>
      </c>
      <c r="P6" s="20" t="s">
        <v>31</v>
      </c>
      <c r="Q6" s="21">
        <f>P2*(Q3*R4 - R3*Q4) - Q2*(P3*R4 - R3*P4) + R2*(P3*Q4 - Q3*P4)</f>
        <v>-1.4223632202749414</v>
      </c>
      <c r="T6" s="20" t="s">
        <v>31</v>
      </c>
      <c r="U6" s="21">
        <f>T2*(U3*V4 - V3*U4) - U2*(T3*V4 - V3*T4) + V2*(T3*U4 - U3*T4)</f>
        <v>-1.423376638113123</v>
      </c>
    </row>
    <row r="7" spans="1:22">
      <c r="A7" s="3" t="s">
        <v>7</v>
      </c>
      <c r="B7" s="5">
        <v>0.01</v>
      </c>
      <c r="G7" s="19"/>
      <c r="H7" t="s">
        <v>66</v>
      </c>
      <c r="I7">
        <f>M5*M7-M6</f>
        <v>-2.7003357104358705</v>
      </c>
      <c r="J7" s="19"/>
      <c r="L7" t="s">
        <v>26</v>
      </c>
      <c r="M7" s="2">
        <f>(M3*N4 - N3*M4) + (L2*N4 - N2*L4) + (L2*M3 - M2*L3)</f>
        <v>1.6489513361435542</v>
      </c>
      <c r="P7" t="s">
        <v>26</v>
      </c>
      <c r="Q7">
        <f>(Q3*R4 - R3*Q4) + (P2*R4 - R2*P4) + (P2*Q3 - Q2*P3)</f>
        <v>1.5850165659598041</v>
      </c>
      <c r="T7" t="s">
        <v>26</v>
      </c>
      <c r="U7">
        <f>(U3*V4 - V3*U4) + (T2*V4 - V2*T4) + (T2*U3 - U2*T3)</f>
        <v>1.5869397304218531</v>
      </c>
    </row>
    <row r="8" spans="1:22">
      <c r="A8" s="3" t="s">
        <v>8</v>
      </c>
      <c r="B8" s="5">
        <v>0.01</v>
      </c>
      <c r="G8" s="19"/>
      <c r="I8" s="6"/>
      <c r="J8" s="19"/>
      <c r="L8" t="s">
        <v>25</v>
      </c>
      <c r="M8" s="14" t="str">
        <f>IF(AND(M5&lt;0, M6&lt;0, (M5*M7)&lt;M6), "УСТОЙЧИВАЯ", "НЕУСТОЙЧИВАЯ")</f>
        <v>УСТОЙЧИВАЯ</v>
      </c>
      <c r="P8" t="s">
        <v>25</v>
      </c>
      <c r="Q8" t="str">
        <f>IF(AND(Q5&lt;0, Q6&lt;0, (Q5*Q7)&lt;Q6), "УСТОЙЧИВАЯ", "НЕУСТОЙЧИВАЯ")</f>
        <v>УСТОЙЧИВАЯ</v>
      </c>
      <c r="T8" t="s">
        <v>25</v>
      </c>
      <c r="U8" t="str">
        <f>IF(AND(U5&lt;0, U6&lt;0, (U5*U7)&lt;U6), "УСТОЙЧИВАЯ", "НЕУСТОЙЧИВАЯ")</f>
        <v>УСТОЙЧИВАЯ</v>
      </c>
    </row>
    <row r="9" spans="1:22">
      <c r="A9" s="24"/>
      <c r="B9" s="5"/>
      <c r="J9" s="19"/>
    </row>
    <row r="10" spans="1:22" ht="15.6">
      <c r="B10" s="5"/>
      <c r="H10" s="38" t="s">
        <v>54</v>
      </c>
      <c r="I10" s="39"/>
      <c r="J10" s="19"/>
      <c r="K10" s="30" t="s">
        <v>7</v>
      </c>
      <c r="L10" s="30" t="s">
        <v>8</v>
      </c>
      <c r="M10" s="31" t="s">
        <v>42</v>
      </c>
      <c r="N10" s="32" t="s">
        <v>12</v>
      </c>
      <c r="O10" s="32" t="s">
        <v>13</v>
      </c>
      <c r="P10" s="32" t="s">
        <v>14</v>
      </c>
      <c r="Q10" s="32" t="s">
        <v>19</v>
      </c>
    </row>
    <row r="11" spans="1:22">
      <c r="A11" s="3" t="s">
        <v>9</v>
      </c>
      <c r="B11" s="5">
        <v>0.1</v>
      </c>
      <c r="D11" t="s">
        <v>41</v>
      </c>
      <c r="E11">
        <f>-(F21+(B2*B4*B20*B12*B18)+(B3*B4*B20*B11*B18)+(B4*B20*B11*B12*B18^2)+(F26*B4*B22*B12*B18)+(B4*F25*B11*B18))</f>
        <v>-1.4561671719406402</v>
      </c>
      <c r="H11" s="40" t="s">
        <v>12</v>
      </c>
      <c r="I11" s="41">
        <v>0.9</v>
      </c>
      <c r="J11" s="19"/>
      <c r="K11" s="29">
        <v>0</v>
      </c>
      <c r="L11" s="29">
        <v>0</v>
      </c>
      <c r="M11" s="28">
        <f>(4*O11*(B2*N11-K11)^2*(O11*B3-L11)^2*N11*P11*B5*B6)/(B2*B3*P11)</f>
        <v>1.1129695844875331</v>
      </c>
      <c r="N11" s="29">
        <v>0.47251313180147947</v>
      </c>
      <c r="O11" s="29">
        <v>0.47251313180147947</v>
      </c>
      <c r="P11" s="29">
        <v>1</v>
      </c>
      <c r="Q11" t="s">
        <v>48</v>
      </c>
    </row>
    <row r="12" spans="1:22">
      <c r="A12" s="3" t="s">
        <v>10</v>
      </c>
      <c r="B12" s="5">
        <v>0.1</v>
      </c>
      <c r="D12" t="s">
        <v>39</v>
      </c>
      <c r="E12">
        <f>(B2*B4*B18+B2*B12*B18^2+B3*B11*B18^2+B11*B12*B18^3-F23*F24*B18)</f>
        <v>-9.4787679904789202E-3</v>
      </c>
      <c r="H12" s="40" t="s">
        <v>13</v>
      </c>
      <c r="I12" s="41">
        <f>I11*I13</f>
        <v>0.81</v>
      </c>
      <c r="J12" s="19"/>
      <c r="K12" s="29">
        <v>0.01</v>
      </c>
      <c r="L12" s="29">
        <v>0.01</v>
      </c>
      <c r="M12" s="28">
        <f>(4*O12*(B2*N12-K12)^2*(O12*B3-L12)^2*N12*P12*B5*B6)/(B2*B3*P12)</f>
        <v>1.0876393168316743</v>
      </c>
      <c r="N12" s="29">
        <v>0.47739372068315294</v>
      </c>
      <c r="O12" s="29">
        <v>0.47739372068315289</v>
      </c>
      <c r="P12" s="29">
        <v>0.99999999999999989</v>
      </c>
      <c r="Q12" t="s">
        <v>55</v>
      </c>
    </row>
    <row r="13" spans="1:22">
      <c r="A13" s="3" t="s">
        <v>11</v>
      </c>
      <c r="B13" s="5">
        <v>0.01</v>
      </c>
      <c r="D13" s="22" t="s">
        <v>40</v>
      </c>
      <c r="E13" s="22">
        <f>E11/E12</f>
        <v>153.62409686610195</v>
      </c>
      <c r="H13" s="40" t="s">
        <v>14</v>
      </c>
      <c r="I13" s="41">
        <v>0.9</v>
      </c>
      <c r="J13" s="19"/>
      <c r="K13" s="29">
        <v>0.1</v>
      </c>
      <c r="L13" s="29">
        <v>0.1</v>
      </c>
      <c r="M13" s="28">
        <f>(4*O13*(B2*N13-K13)^2*(O13*B3-L13)^2*N13*P13*B5*B6)/(B2*B3*P13)</f>
        <v>0.87188003751664267</v>
      </c>
      <c r="N13" s="29">
        <v>0.52266928828829207</v>
      </c>
      <c r="O13" s="29">
        <v>0.52266928828816728</v>
      </c>
      <c r="P13" s="29">
        <v>0.99999999999966127</v>
      </c>
      <c r="Q13" t="s">
        <v>53</v>
      </c>
    </row>
    <row r="14" spans="1:22">
      <c r="A14" s="24"/>
      <c r="B14" s="25"/>
      <c r="C14" s="19"/>
      <c r="D14" s="19"/>
      <c r="H14" s="42"/>
      <c r="I14" s="43"/>
      <c r="J14" s="19"/>
      <c r="K14" s="29">
        <v>0.3</v>
      </c>
      <c r="L14" s="29">
        <v>0.3</v>
      </c>
      <c r="M14" s="28">
        <f>(4*O14*(B2*N14-K14)^2*(O14*B3-L14)^2*N14*P14*B5*B6)/(B2*B3*P14)</f>
        <v>0.49248681123578969</v>
      </c>
      <c r="N14" s="29">
        <v>0.63297120289906283</v>
      </c>
      <c r="O14" s="29">
        <v>0.63297120289906295</v>
      </c>
      <c r="P14" s="29">
        <v>1</v>
      </c>
      <c r="Q14" t="s">
        <v>47</v>
      </c>
    </row>
    <row r="15" spans="1:22" ht="15.6" customHeight="1">
      <c r="A15" s="3" t="s">
        <v>16</v>
      </c>
      <c r="B15">
        <v>90</v>
      </c>
      <c r="C15" s="19"/>
      <c r="D15" s="19"/>
      <c r="H15" s="44" t="s">
        <v>7</v>
      </c>
      <c r="I15" s="43">
        <f>B2*I11-(B2*I13)/(1+B5*I12^2)</f>
        <v>0.68974418876299504</v>
      </c>
      <c r="J15" s="19"/>
      <c r="K15" s="29">
        <v>0.4</v>
      </c>
      <c r="L15" s="29">
        <v>0.4</v>
      </c>
      <c r="M15" s="28">
        <f>(4*O15*(B2*N15-K15)^2*(O15*B3-L15)^2*N15*P15*B5*B6)/(B2*B3*P15)</f>
        <v>0.35766007423881829</v>
      </c>
      <c r="N15" s="29">
        <v>0.69363181700064758</v>
      </c>
      <c r="O15" s="29">
        <v>0.69363181700064758</v>
      </c>
      <c r="P15" s="29">
        <v>1</v>
      </c>
      <c r="Q15" t="s">
        <v>46</v>
      </c>
    </row>
    <row r="16" spans="1:22">
      <c r="A16" s="3" t="s">
        <v>17</v>
      </c>
      <c r="B16">
        <v>10</v>
      </c>
      <c r="C16" s="19"/>
      <c r="D16" s="19"/>
      <c r="H16" s="44" t="s">
        <v>8</v>
      </c>
      <c r="I16" s="43">
        <f>B3*I12-(B3)/(1+B6*I11^2*I13)</f>
        <v>0.59471474703982785</v>
      </c>
      <c r="J16" s="23"/>
      <c r="K16" s="29">
        <v>0.5</v>
      </c>
      <c r="L16" s="29">
        <v>0.5</v>
      </c>
      <c r="M16" s="28">
        <f>(4*O16*(B2*N16-K16)^2*(O16*B3-L16)^2*N16*P16*B5*B6)/(B2*B3*P16)</f>
        <v>0.25522018716627787</v>
      </c>
      <c r="N16" s="29">
        <v>0.75813936232119616</v>
      </c>
      <c r="O16" s="29">
        <v>0.75813936232119616</v>
      </c>
      <c r="P16" s="29">
        <v>1</v>
      </c>
      <c r="Q16" t="s">
        <v>46</v>
      </c>
    </row>
    <row r="17" spans="1:17">
      <c r="A17" s="3" t="s">
        <v>28</v>
      </c>
      <c r="B17" s="16">
        <v>13</v>
      </c>
      <c r="C17" s="17">
        <v>2</v>
      </c>
      <c r="D17" s="17">
        <v>3</v>
      </c>
      <c r="H17" s="45"/>
      <c r="I17" s="43"/>
      <c r="J17" s="19"/>
      <c r="K17" s="29">
        <v>0.6</v>
      </c>
      <c r="L17" s="29">
        <v>0.6</v>
      </c>
      <c r="M17" s="28">
        <f>(4*O17*(B2*N17-K17)^2*(O17*B3-L17)^2*N17*P17*B5*B6)/(B2*B3*P17)</f>
        <v>0.1797220612157841</v>
      </c>
      <c r="N17" s="29">
        <v>0.82648198002889106</v>
      </c>
      <c r="O17" s="29">
        <v>0.82648198002889117</v>
      </c>
      <c r="P17" s="29">
        <v>1</v>
      </c>
      <c r="Q17" t="s">
        <v>48</v>
      </c>
    </row>
    <row r="18" spans="1:17">
      <c r="A18" s="11" t="s">
        <v>29</v>
      </c>
      <c r="B18" s="10">
        <f xml:space="preserve"> (B17 * PI() / B15)^2</f>
        <v>0.20592137577581501</v>
      </c>
      <c r="C18" s="15">
        <f>(C17*PI()/$B$15)^2</f>
        <v>4.8738787165873371E-3</v>
      </c>
      <c r="D18" s="15">
        <f>(D17*PI()/$B$15)^2</f>
        <v>1.0966227112321508E-2</v>
      </c>
      <c r="H18" s="44" t="s">
        <v>5</v>
      </c>
      <c r="I18" s="43">
        <f>(((B2*I13)/(B2*I11-B7))-1)/I12^2</f>
        <v>1.7125369693918306E-2</v>
      </c>
      <c r="J18" s="19"/>
      <c r="K18" s="29">
        <v>0.7</v>
      </c>
      <c r="L18" s="29">
        <v>0.7</v>
      </c>
      <c r="M18" s="28">
        <f>(4*O18*(B2*N18-K18)^2*(O18*B3-L18)^2*N18*P18*B5*B6)/(B2*B3*P18)</f>
        <v>0.12544055933324363</v>
      </c>
      <c r="N18" s="29">
        <v>0.89853702374610833</v>
      </c>
      <c r="O18" s="29">
        <v>0.89853702374610833</v>
      </c>
      <c r="P18" s="29">
        <v>1</v>
      </c>
      <c r="Q18" t="s">
        <v>46</v>
      </c>
    </row>
    <row r="19" spans="1:17">
      <c r="A19" t="s">
        <v>18</v>
      </c>
      <c r="H19" s="44" t="s">
        <v>6</v>
      </c>
      <c r="I19" s="43">
        <f>((B3)/(B3*I12-B8)-1)/I11^2*I13</f>
        <v>0.27777777777777779</v>
      </c>
      <c r="J19" s="19"/>
      <c r="K19" s="29">
        <v>0.8</v>
      </c>
      <c r="L19" s="29">
        <v>0.8</v>
      </c>
      <c r="M19" s="28">
        <f>(4*O19*(B2*N19-K19)^2*(O19*B3-L19)^2*N19*P19*B5*B6)/(B2*B3*P19)</f>
        <v>8.715006188447226E-2</v>
      </c>
      <c r="N19" s="29">
        <v>0.97408762923576153</v>
      </c>
      <c r="O19" s="29">
        <v>0.97408762923576153</v>
      </c>
      <c r="P19" s="29">
        <v>1</v>
      </c>
      <c r="Q19" t="s">
        <v>46</v>
      </c>
    </row>
    <row r="20" spans="1:17">
      <c r="A20" s="28" t="s">
        <v>12</v>
      </c>
      <c r="B20" s="28">
        <v>0.47739372068315294</v>
      </c>
      <c r="H20" s="45"/>
      <c r="I20" s="46"/>
      <c r="J20" s="19"/>
      <c r="K20" s="29">
        <v>0.9</v>
      </c>
      <c r="L20" s="29">
        <v>0.9</v>
      </c>
      <c r="M20" s="28">
        <f>(4*O20*(B2*N20-K20)^2*(O20*B3-L20)^2*N20*P20*B5*B6)/(B2*B3*P20)</f>
        <v>6.0502182942365007E-2</v>
      </c>
      <c r="N20" s="29">
        <v>1.0528480533113043</v>
      </c>
      <c r="O20" s="29">
        <v>1.0528480533113043</v>
      </c>
      <c r="P20" s="29">
        <v>1</v>
      </c>
      <c r="Q20" t="s">
        <v>48</v>
      </c>
    </row>
    <row r="21" spans="1:17" ht="15.6">
      <c r="A21" s="28" t="s">
        <v>13</v>
      </c>
      <c r="B21" s="28">
        <v>0.47739372068315289</v>
      </c>
      <c r="E21" s="19"/>
      <c r="F21" s="19">
        <f>(B2*B3*B4*B20)+(F23*F25*B4*B22)+(B4*F26*F24)+(F26*B4*B22*B3)+(B4*F25*B2)-(F23*F24*B4*B20)</f>
        <v>1.4215528481428672</v>
      </c>
      <c r="H21" s="49" t="s">
        <v>45</v>
      </c>
      <c r="I21" s="50">
        <f>(4*I12*(B2*I11-I15)^2*(I12*B3-I16)^2*I11*I13*B5*B6)/(B2*B3*I13)</f>
        <v>0.14936612276756606</v>
      </c>
      <c r="K21" s="29">
        <v>1</v>
      </c>
      <c r="L21" s="29">
        <v>1</v>
      </c>
      <c r="M21" s="28">
        <f>(4*O21*(B2*N21-K21)^2*(O21*B3-L21)^2*N21*P21*B5*B6)/(B2*B3*P21)</f>
        <v>4.2110851433868189E-2</v>
      </c>
      <c r="N21" s="29">
        <v>1.134492390232233</v>
      </c>
      <c r="O21" s="29">
        <v>1.1344923902322332</v>
      </c>
      <c r="P21" s="29">
        <v>1</v>
      </c>
      <c r="Q21" t="s">
        <v>50</v>
      </c>
    </row>
    <row r="22" spans="1:17" ht="15.6">
      <c r="A22" s="28" t="s">
        <v>14</v>
      </c>
      <c r="B22" s="28">
        <v>0.99999999999999989</v>
      </c>
      <c r="H22" s="47" t="s">
        <v>43</v>
      </c>
      <c r="I22" s="48">
        <f>B2*B3-I21</f>
        <v>0.850633877232434</v>
      </c>
    </row>
    <row r="23" spans="1:17" ht="15.6">
      <c r="E23" s="26" t="s">
        <v>35</v>
      </c>
      <c r="F23" s="27">
        <f xml:space="preserve"> (2 * B2 * B5 * B21*B22) / ((1 + B5 * B21^2) ^ 2)</f>
        <v>1.0428994758996069</v>
      </c>
    </row>
    <row r="24" spans="1:17" ht="15.6">
      <c r="A24" t="s">
        <v>19</v>
      </c>
      <c r="B24" s="6" t="s">
        <v>65</v>
      </c>
      <c r="E24" s="26" t="s">
        <v>36</v>
      </c>
      <c r="F24" s="27">
        <f xml:space="preserve"> (2 * B3 * B6 * B20 * B22) / (1 + B6 * B20^2 * B22) ^ 2</f>
        <v>1.0428994758996066</v>
      </c>
      <c r="H24" s="36" t="s">
        <v>42</v>
      </c>
      <c r="I24" s="35">
        <f>F23*F24</f>
        <v>1.0876393168316745</v>
      </c>
      <c r="J24" s="19"/>
      <c r="K24" s="30" t="s">
        <v>5</v>
      </c>
      <c r="L24" s="30" t="s">
        <v>6</v>
      </c>
      <c r="M24" s="33" t="s">
        <v>42</v>
      </c>
      <c r="N24" s="32" t="s">
        <v>12</v>
      </c>
      <c r="O24" s="32" t="s">
        <v>13</v>
      </c>
      <c r="P24" s="32" t="s">
        <v>14</v>
      </c>
      <c r="Q24" s="32" t="s">
        <v>19</v>
      </c>
    </row>
    <row r="25" spans="1:17" ht="15.6">
      <c r="A25" t="s">
        <v>25</v>
      </c>
      <c r="B25" s="6" t="s">
        <v>27</v>
      </c>
      <c r="E25" s="26" t="s">
        <v>37</v>
      </c>
      <c r="F25" s="27">
        <f xml:space="preserve"> (B3 * B6 * B20^2) / (1 + B6 * B20^2 * B22) ^ 2</f>
        <v>0.24893683054911175</v>
      </c>
      <c r="H25" s="34" t="s">
        <v>43</v>
      </c>
      <c r="I25" s="35">
        <f>B2*B3-F23*F24</f>
        <v>-8.7639316831674474E-2</v>
      </c>
      <c r="K25" s="29">
        <v>0</v>
      </c>
      <c r="L25" s="29">
        <v>0</v>
      </c>
      <c r="M25" s="28">
        <v>0</v>
      </c>
      <c r="N25" s="29">
        <v>1.0100000000000013</v>
      </c>
      <c r="O25" s="29">
        <v>1.01</v>
      </c>
      <c r="P25" s="29">
        <v>1.0000000000000013</v>
      </c>
      <c r="Q25" t="s">
        <v>56</v>
      </c>
    </row>
    <row r="26" spans="1:17" ht="15.6">
      <c r="A26" t="s">
        <v>23</v>
      </c>
      <c r="B26">
        <v>-3.134492390232233</v>
      </c>
      <c r="E26" s="26" t="s">
        <v>38</v>
      </c>
      <c r="F26" s="27">
        <f>B2/(1+B5*B21^2)</f>
        <v>0.46739372068315299</v>
      </c>
      <c r="H26" s="35" t="s">
        <v>44</v>
      </c>
      <c r="I26" s="35">
        <f>B2*B3</f>
        <v>1</v>
      </c>
      <c r="K26" s="29">
        <v>0.5</v>
      </c>
      <c r="L26" s="29">
        <v>0.5</v>
      </c>
      <c r="M26" s="28">
        <v>0.1634912543925359</v>
      </c>
      <c r="N26" s="29">
        <v>0.77777416721833026</v>
      </c>
      <c r="O26" s="29">
        <v>0.77777416721833026</v>
      </c>
      <c r="P26" s="29">
        <v>1</v>
      </c>
      <c r="Q26" t="s">
        <v>57</v>
      </c>
    </row>
    <row r="27" spans="1:17">
      <c r="A27" t="s">
        <v>24</v>
      </c>
      <c r="B27">
        <v>-1.3891008349116569</v>
      </c>
      <c r="K27" s="29">
        <v>1</v>
      </c>
      <c r="L27" s="29">
        <v>1</v>
      </c>
      <c r="M27" s="28">
        <v>0.27652170735870818</v>
      </c>
      <c r="N27" s="29">
        <v>0.68844565201911412</v>
      </c>
      <c r="O27" s="29">
        <v>0.68844565201911412</v>
      </c>
      <c r="P27" s="29">
        <v>1</v>
      </c>
      <c r="Q27" t="s">
        <v>55</v>
      </c>
    </row>
    <row r="28" spans="1:17">
      <c r="A28" t="s">
        <v>26</v>
      </c>
      <c r="B28">
        <v>3.4777705064646849</v>
      </c>
      <c r="K28" s="29">
        <v>1.5</v>
      </c>
      <c r="L28" s="29">
        <v>1.5</v>
      </c>
      <c r="M28" s="28">
        <v>0.34741472711281884</v>
      </c>
      <c r="N28" s="29">
        <v>0.63391725682172673</v>
      </c>
      <c r="O28" s="29">
        <v>0.63391725682173838</v>
      </c>
      <c r="P28" s="29">
        <v>0.99999999999994005</v>
      </c>
      <c r="Q28" t="s">
        <v>58</v>
      </c>
    </row>
    <row r="29" spans="1:17">
      <c r="K29" s="29">
        <v>2</v>
      </c>
      <c r="L29" s="29">
        <v>2</v>
      </c>
      <c r="M29" s="28">
        <v>0.39592192558101164</v>
      </c>
      <c r="N29" s="29">
        <v>0.59525497739574929</v>
      </c>
      <c r="O29" s="29">
        <v>0.5952549773957746</v>
      </c>
      <c r="P29" s="29">
        <v>0.99999999999983691</v>
      </c>
      <c r="Q29" t="s">
        <v>59</v>
      </c>
    </row>
    <row r="30" spans="1:17">
      <c r="K30" s="29">
        <v>2.5</v>
      </c>
      <c r="L30" s="29">
        <v>2.5</v>
      </c>
      <c r="M30" s="28">
        <v>0.43112630123014051</v>
      </c>
      <c r="N30" s="29">
        <v>0.5656160877916756</v>
      </c>
      <c r="O30" s="29">
        <v>0.5656160877916846</v>
      </c>
      <c r="P30" s="29">
        <v>0.99999999999995637</v>
      </c>
      <c r="Q30" t="s">
        <v>60</v>
      </c>
    </row>
    <row r="31" spans="1:17">
      <c r="H31" s="19"/>
      <c r="K31" s="29">
        <v>3</v>
      </c>
      <c r="L31" s="29">
        <v>3</v>
      </c>
      <c r="M31" s="28">
        <v>0.45773697245325878</v>
      </c>
      <c r="N31" s="29">
        <v>0.5417652928636445</v>
      </c>
      <c r="O31" s="29">
        <v>0.54176529286364339</v>
      </c>
      <c r="P31" s="29">
        <v>0.99999999999998557</v>
      </c>
      <c r="Q31" t="s">
        <v>61</v>
      </c>
    </row>
    <row r="32" spans="1:17">
      <c r="H32" s="19"/>
      <c r="K32" s="29">
        <v>3.5</v>
      </c>
      <c r="L32" s="29">
        <v>3.5</v>
      </c>
      <c r="M32" s="28">
        <v>0.4784524429555771</v>
      </c>
      <c r="N32" s="29">
        <v>0.52192381843237801</v>
      </c>
      <c r="O32" s="29">
        <v>0.52192381843235391</v>
      </c>
      <c r="P32" s="29">
        <v>0.99999999999996703</v>
      </c>
      <c r="Q32" t="s">
        <v>62</v>
      </c>
    </row>
    <row r="33" spans="8:17">
      <c r="H33" s="19"/>
      <c r="K33" s="29">
        <v>4</v>
      </c>
      <c r="L33" s="29">
        <v>4</v>
      </c>
      <c r="M33" s="28">
        <v>0.49493868485838644</v>
      </c>
      <c r="N33" s="29">
        <v>0.50501256226527669</v>
      </c>
      <c r="O33" s="29">
        <v>0.50501256226511404</v>
      </c>
      <c r="P33" s="29">
        <v>0.99999999999982514</v>
      </c>
      <c r="Q33" t="s">
        <v>63</v>
      </c>
    </row>
    <row r="34" spans="8:17">
      <c r="H34" s="19"/>
      <c r="K34" s="29">
        <v>4.5</v>
      </c>
      <c r="L34" s="29">
        <v>4.5</v>
      </c>
      <c r="M34" s="28">
        <v>0.50828414725543514</v>
      </c>
      <c r="N34" s="29">
        <v>0.49032956965437613</v>
      </c>
      <c r="O34" s="29">
        <v>0.49032956965362073</v>
      </c>
      <c r="P34" s="29">
        <v>0.99999999999920741</v>
      </c>
      <c r="Q34" t="s">
        <v>64</v>
      </c>
    </row>
    <row r="35" spans="8:17">
      <c r="H35" s="19"/>
      <c r="K35" s="29">
        <v>5</v>
      </c>
      <c r="L35" s="29">
        <v>5</v>
      </c>
      <c r="M35" s="28">
        <v>0.51923218022355555</v>
      </c>
      <c r="N35" s="29">
        <v>0.47739372068315294</v>
      </c>
      <c r="O35" s="29">
        <v>0.47739372068315289</v>
      </c>
      <c r="P35" s="29">
        <v>0.99999999999999989</v>
      </c>
      <c r="Q35" t="s">
        <v>55</v>
      </c>
    </row>
    <row r="36" spans="8:17">
      <c r="H36" s="19"/>
      <c r="K36" s="29">
        <v>6</v>
      </c>
      <c r="L36" s="29">
        <v>6</v>
      </c>
      <c r="M36" s="28">
        <v>3.8598135620940895E-2</v>
      </c>
      <c r="N36" s="29">
        <v>1.1177076756549604</v>
      </c>
      <c r="O36" s="29">
        <v>1.1177076756549604</v>
      </c>
      <c r="P36" s="29">
        <v>1</v>
      </c>
      <c r="Q36" t="s">
        <v>48</v>
      </c>
    </row>
    <row r="37" spans="8:17">
      <c r="H37" s="19"/>
      <c r="K37" s="29">
        <v>7</v>
      </c>
      <c r="L37" s="29">
        <v>7</v>
      </c>
      <c r="M37" s="28">
        <v>3.1856843864168073E-2</v>
      </c>
      <c r="N37" s="29">
        <v>1.1047803203264137</v>
      </c>
      <c r="O37" s="29">
        <v>1.1047803203264137</v>
      </c>
      <c r="P37" s="29">
        <v>1</v>
      </c>
      <c r="Q37" t="s">
        <v>48</v>
      </c>
    </row>
    <row r="38" spans="8:17">
      <c r="H38" s="19"/>
      <c r="K38" s="29">
        <v>8</v>
      </c>
      <c r="L38" s="29">
        <v>8</v>
      </c>
      <c r="M38" s="28">
        <v>2.6754580179386062E-2</v>
      </c>
      <c r="N38" s="29">
        <v>1.0944889469171026</v>
      </c>
      <c r="O38" s="29">
        <v>1.0944889469171026</v>
      </c>
      <c r="P38" s="29">
        <v>1</v>
      </c>
      <c r="Q38" t="s">
        <v>46</v>
      </c>
    </row>
    <row r="39" spans="8:17">
      <c r="H39" s="19"/>
      <c r="K39" s="29">
        <v>9</v>
      </c>
      <c r="L39" s="29">
        <v>9</v>
      </c>
      <c r="M39" s="28">
        <v>2.279680934645003E-2</v>
      </c>
      <c r="N39" s="29">
        <v>1.086086294467536</v>
      </c>
      <c r="O39" s="29">
        <v>1.0860862944675362</v>
      </c>
      <c r="P39" s="29">
        <v>1</v>
      </c>
      <c r="Q39" t="s">
        <v>49</v>
      </c>
    </row>
    <row r="40" spans="8:17">
      <c r="H40" s="19"/>
      <c r="K40" s="29">
        <v>10</v>
      </c>
      <c r="L40" s="29">
        <v>10</v>
      </c>
      <c r="M40" s="28">
        <v>1.9663090083913801E-2</v>
      </c>
      <c r="N40" s="29">
        <v>1.0790870858235801</v>
      </c>
      <c r="O40" s="29">
        <v>1.0790870858235801</v>
      </c>
      <c r="P40" s="29">
        <v>1</v>
      </c>
      <c r="Q40" t="s">
        <v>46</v>
      </c>
    </row>
    <row r="41" spans="8:17">
      <c r="H41" s="19"/>
    </row>
    <row r="42" spans="8:17">
      <c r="K42" s="52" t="s">
        <v>4</v>
      </c>
      <c r="L42" s="51" t="s">
        <v>11</v>
      </c>
      <c r="M42" s="32" t="s">
        <v>12</v>
      </c>
      <c r="N42" s="32" t="s">
        <v>13</v>
      </c>
      <c r="O42" s="32" t="s">
        <v>14</v>
      </c>
      <c r="P42" s="32" t="s">
        <v>19</v>
      </c>
    </row>
    <row r="43" spans="8:17">
      <c r="K43" s="29">
        <v>0</v>
      </c>
    </row>
    <row r="44" spans="8:17">
      <c r="K44" s="29">
        <v>0.1</v>
      </c>
    </row>
    <row r="45" spans="8:17">
      <c r="K45" s="29">
        <v>0.2</v>
      </c>
    </row>
    <row r="46" spans="8:17">
      <c r="K46" s="29">
        <v>0.3</v>
      </c>
    </row>
    <row r="47" spans="8:17">
      <c r="K47" s="29">
        <v>0.4</v>
      </c>
    </row>
    <row r="48" spans="8:17">
      <c r="K48" s="29">
        <v>0.5</v>
      </c>
    </row>
    <row r="49" spans="11:11">
      <c r="K49" s="29">
        <v>0.6</v>
      </c>
    </row>
    <row r="50" spans="11:11">
      <c r="K50" s="29">
        <v>0.7</v>
      </c>
    </row>
    <row r="51" spans="11:11">
      <c r="K51" s="29">
        <v>0.8</v>
      </c>
    </row>
    <row r="52" spans="11:11">
      <c r="K52" s="29">
        <v>0.9</v>
      </c>
    </row>
    <row r="53" spans="11:11">
      <c r="K53" s="29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indEquilibriumPoint">
                <anchor moveWithCells="1" sizeWithCells="1">
                  <from>
                    <xdr:col>2</xdr:col>
                    <xdr:colOff>601980</xdr:colOff>
                    <xdr:row>4</xdr:row>
                    <xdr:rowOff>30480</xdr:rowOff>
                  </from>
                  <to>
                    <xdr:col>4</xdr:col>
                    <xdr:colOff>7620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unSigmaScan">
                <anchor moveWithCells="1">
                  <from>
                    <xdr:col>9</xdr:col>
                    <xdr:colOff>182880</xdr:colOff>
                    <xdr:row>8</xdr:row>
                    <xdr:rowOff>167640</xdr:rowOff>
                  </from>
                  <to>
                    <xdr:col>9</xdr:col>
                    <xdr:colOff>746760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RunKaKbScan">
                <anchor moveWithCells="1">
                  <from>
                    <xdr:col>9</xdr:col>
                    <xdr:colOff>182880</xdr:colOff>
                    <xdr:row>23</xdr:row>
                    <xdr:rowOff>0</xdr:rowOff>
                  </from>
                  <to>
                    <xdr:col>9</xdr:col>
                    <xdr:colOff>746760</xdr:colOff>
                    <xdr:row>24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параметры</vt:lpstr>
      <vt:lpstr>диплом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Professional</dc:creator>
  <cp:lastModifiedBy>Professional</cp:lastModifiedBy>
  <dcterms:created xsi:type="dcterms:W3CDTF">2015-06-05T18:19:34Z</dcterms:created>
  <dcterms:modified xsi:type="dcterms:W3CDTF">2026-04-30T08:29:29Z</dcterms:modified>
</cp:coreProperties>
</file>